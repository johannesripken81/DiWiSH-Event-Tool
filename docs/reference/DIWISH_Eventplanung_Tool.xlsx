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2c4e6dcd1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7b2026861c74815"/>
    <x:sheet xmlns:r="http://schemas.openxmlformats.org/officeDocument/2006/relationships" name="Event-Setup" sheetId="2" r:id="Rc3007aa5918140c9"/>
    <x:sheet xmlns:r="http://schemas.openxmlformats.org/officeDocument/2006/relationships" name="Aufgabenplan" sheetId="3" r:id="Rd6378210608a42f1"/>
    <x:sheet xmlns:r="http://schemas.openxmlformats.org/officeDocument/2006/relationships" name="Checklisten" sheetId="4" r:id="Rff8dbd1d38d04c27"/>
    <x:sheet xmlns:r="http://schemas.openxmlformats.org/officeDocument/2006/relationships" name="Rollen" sheetId="5" r:id="R86ff71c008604031"/>
    <x:sheet xmlns:r="http://schemas.openxmlformats.org/officeDocument/2006/relationships" name="Dropdowns" sheetId="6" r:id="R3bf7a65638ed4df4"/>
    <x:sheet xmlns:r="http://schemas.openxmlformats.org/officeDocument/2006/relationships" name="Anleitung" sheetId="7" r:id="Ra4b3fb4a558845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0%"/>
  </x:numFmts>
  <x:fonts count="9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1"/>
      <x:color rgb="003B70"/>
      <x:name val="Carlito"/>
    </x:font>
    <x:font>
      <x:b/>
      <x:sz val="16"/>
      <x:color rgb="FFFFFF"/>
      <x:name val="Carlito"/>
    </x:font>
    <x:font>
      <x:sz val="11"/>
      <x:color rgb="003B70"/>
      <x:name val="Carlito"/>
    </x:font>
    <x:font>
      <x:sz val="10"/>
      <x:name val="Carlito"/>
    </x:font>
    <x:font>
      <x:b/>
      <x:sz val="20"/>
      <x:color rgb="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05CA9"/>
      </x:patternFill>
    </x:fill>
    <x:fill>
      <x:patternFill patternType="solid">
        <x:fgColor rgb="E30613"/>
      </x:patternFill>
    </x:fill>
    <x:fill>
      <x:patternFill patternType="solid">
        <x:fgColor rgb="EAF3FB"/>
      </x:patternFill>
    </x:fill>
    <x:fill>
      <x:patternFill patternType="solid">
        <x:fgColor rgb="FFFFFF"/>
      </x:patternFill>
    </x:fill>
    <x:fill>
      <x:patternFill patternType="solid">
        <x:fgColor rgb="FDEBEC"/>
      </x:patternFill>
    </x:fill>
  </x:fills>
  <x:borders count="26">
    <x:border/>
    <x:border/>
    <x:border>
      <x:left>
        <x:color rgb="D9E2EC"/>
      </x:left>
      <x:right>
        <x:color rgb="D9E2EC"/>
      </x:right>
      <x:top>
        <x:color rgb="D9E2EC"/>
      </x:top>
      <x:bottom>
        <x:color rgb="D9E2EC"/>
      </x:bottom>
    </x:border>
    <x:border>
      <x:left>
        <x:color rgb="D9E2EC"/>
      </x:left>
      <x:right>
        <x:color rgb="D9E2EC"/>
      </x:right>
      <x:top>
        <x:color rgb="D9E2EC"/>
      </x:top>
      <x:bottom>
        <x:color rgb="D9E2EC"/>
      </x:bottom>
    </x:border>
    <x:border>
      <x:bottom>
        <x:color rgb="D9E2EC"/>
      </x:bottom>
    </x:border>
    <x:border>
      <x:top>
        <x:color rgb="D9E2EC"/>
      </x:top>
      <x:bottom>
        <x:color rgb="D9E2EC"/>
      </x:bottom>
    </x:border>
    <x:border>
      <x:top>
        <x:color rgb="D9E2EC"/>
      </x:top>
    </x:border>
    <x:border>
      <x:bottom>
        <x:color rgb="D9E2EC"/>
      </x:bottom>
    </x:border>
    <x:border>
      <x:top>
        <x:color rgb="D9E2EC"/>
      </x:top>
      <x:bottom>
        <x:color rgb="D9E2EC"/>
      </x:bottom>
    </x:border>
    <x:border>
      <x:top>
        <x:color rgb="D9E2EC"/>
      </x:top>
    </x:border>
    <x:border>
      <x:right>
        <x:color rgb="D9E2EC"/>
      </x:right>
      <x:bottom>
        <x:color rgb="D9E2EC"/>
      </x:bottom>
    </x:border>
    <x:border>
      <x:left>
        <x:color rgb="D9E2EC"/>
      </x:left>
      <x:right>
        <x:color rgb="D9E2EC"/>
      </x:right>
      <x:bottom>
        <x:color rgb="D9E2EC"/>
      </x:bottom>
    </x:border>
    <x:border>
      <x:left>
        <x:color rgb="D9E2EC"/>
      </x:left>
      <x:bottom>
        <x:color rgb="D9E2EC"/>
      </x:bottom>
    </x:border>
    <x:border>
      <x:right>
        <x:color rgb="D9E2EC"/>
      </x:right>
      <x:top>
        <x:color rgb="D9E2EC"/>
      </x:top>
      <x:bottom>
        <x:color rgb="D9E2EC"/>
      </x:bottom>
    </x:border>
    <x:border>
      <x:left>
        <x:color rgb="D9E2EC"/>
      </x:left>
      <x:top>
        <x:color rgb="D9E2EC"/>
      </x:top>
      <x:bottom>
        <x:color rgb="D9E2EC"/>
      </x:bottom>
    </x:border>
    <x:border>
      <x:right>
        <x:color rgb="D9E2EC"/>
      </x:right>
      <x:top>
        <x:color rgb="D9E2EC"/>
      </x:top>
    </x:border>
    <x:border>
      <x:left>
        <x:color rgb="D9E2EC"/>
      </x:left>
      <x:right>
        <x:color rgb="D9E2EC"/>
      </x:right>
      <x:top>
        <x:color rgb="D9E2EC"/>
      </x:top>
    </x:border>
    <x:border>
      <x:left>
        <x:color rgb="D9E2EC"/>
      </x:left>
      <x:top>
        <x:color rgb="D9E2EC"/>
      </x:top>
    </x:border>
    <x:border>
      <x:right>
        <x:color rgb="D9E2EC"/>
      </x:right>
      <x:bottom>
        <x:color rgb="D9E2EC"/>
      </x:bottom>
    </x:border>
    <x:border>
      <x:left>
        <x:color rgb="D9E2EC"/>
      </x:left>
      <x:right>
        <x:color rgb="D9E2EC"/>
      </x:right>
      <x:bottom>
        <x:color rgb="D9E2EC"/>
      </x:bottom>
    </x:border>
    <x:border>
      <x:left>
        <x:color rgb="D9E2EC"/>
      </x:left>
      <x:bottom>
        <x:color rgb="D9E2EC"/>
      </x:bottom>
    </x:border>
    <x:border>
      <x:right>
        <x:color rgb="D9E2EC"/>
      </x:right>
      <x:top>
        <x:color rgb="D9E2EC"/>
      </x:top>
      <x:bottom>
        <x:color rgb="D9E2EC"/>
      </x:bottom>
    </x:border>
    <x:border>
      <x:left>
        <x:color rgb="D9E2EC"/>
      </x:left>
      <x:top>
        <x:color rgb="D9E2EC"/>
      </x:top>
      <x:bottom>
        <x:color rgb="D9E2EC"/>
      </x:bottom>
    </x:border>
    <x:border>
      <x:right>
        <x:color rgb="D9E2EC"/>
      </x:right>
      <x:top>
        <x:color rgb="D9E2EC"/>
      </x:top>
    </x:border>
    <x:border>
      <x:left>
        <x:color rgb="D9E2EC"/>
      </x:left>
      <x:right>
        <x:color rgb="D9E2EC"/>
      </x:right>
      <x:top>
        <x:color rgb="D9E2EC"/>
      </x:top>
    </x:border>
    <x:border>
      <x:left>
        <x:color rgb="D9E2EC"/>
      </x:left>
      <x:top>
        <x:color rgb="D9E2EC"/>
      </x:top>
    </x:border>
  </x:borders>
  <x:cellStyleXfs count="1">
    <x:xf numFmtId="0" fontId="0" fillId="0" borderId="0"/>
  </x:cellStyleXfs>
  <x:cellXfs count="1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1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200" fontId="6" fillId="0" borderId="1" xfId="0" applyNumberFormat="1" applyFont="1" applyFill="1" applyBorder="1"/>
    <x:xf numFmtId="201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201" fontId="6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6" fillId="0" borderId="3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201" fontId="6" fillId="0" borderId="3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200" fontId="8" fillId="5" borderId="0" xfId="0" applyNumberFormat="1" applyFont="1" applyFill="1" applyBorder="1"/>
    <x:xf numFmtId="200" fontId="8" fillId="5" borderId="1" xfId="0" applyNumberFormat="1" applyFont="1" applyFill="1" applyBorder="1"/>
    <x:xf numFmtId="201" fontId="8" fillId="5" borderId="0" xfId="0" applyNumberFormat="1" applyFont="1" applyFill="1" applyBorder="1"/>
    <x:xf numFmtId="201" fontId="8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1" fillId="2" borderId="18" xfId="0" applyNumberFormat="1" applyFont="1" applyFill="1" applyBorder="1" applyAlignment="1">
      <x:alignment horizontal="center"/>
    </x:xf>
    <x:xf numFmtId="0" fontId="1" fillId="2" borderId="19" xfId="0" applyNumberFormat="1" applyFont="1" applyFill="1" applyBorder="1" applyAlignment="1">
      <x:alignment horizontal="center"/>
    </x:xf>
    <x:xf numFmtId="0" fontId="1" fillId="2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color rgb="27632A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  <x:dxf>
      <x:font>
        <x:color rgb="7A5A00"/>
      </x:font>
      <x:fill>
        <x:patternFill patternType="solid">
          <x:bgColor rgb="FFF2CC"/>
        </x:patternFill>
      </x:fill>
    </x:dxf>
    <x:dxf>
      <x:font>
        <x:color rgb="003B70"/>
      </x:font>
      <x:fill>
        <x:patternFill patternType="solid">
          <x:bgColor rgb="EAF3FB"/>
        </x:patternFill>
      </x:fill>
    </x:dxf>
    <x:dxf>
      <x:font>
        <x:color rgb="4A5568"/>
      </x:font>
      <x:fill>
        <x:patternFill patternType="solid">
          <x:bgColor rgb="F3F6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516dc6abfc42e6" /><Relationship Type="http://schemas.openxmlformats.org/officeDocument/2006/relationships/theme" Target="/xl/theme/theme1.xml" Id="R05848497dc554c45" /><Relationship Type="http://schemas.openxmlformats.org/officeDocument/2006/relationships/sharedStrings" Target="/xl/sharedStrings.xml" Id="R463a29333a964a24" /><Relationship Type="http://schemas.openxmlformats.org/officeDocument/2006/relationships/worksheet" Target="/xl/worksheets/sheet1.xml" Id="Ra7b2026861c74815" /><Relationship Type="http://schemas.openxmlformats.org/officeDocument/2006/relationships/worksheet" Target="/xl/worksheets/sheet2.xml" Id="Rc3007aa5918140c9" /><Relationship Type="http://schemas.openxmlformats.org/officeDocument/2006/relationships/worksheet" Target="/xl/worksheets/sheet3.xml" Id="Rd6378210608a42f1" /><Relationship Type="http://schemas.openxmlformats.org/officeDocument/2006/relationships/worksheet" Target="/xl/worksheets/sheet4.xml" Id="Rff8dbd1d38d04c27" /><Relationship Type="http://schemas.openxmlformats.org/officeDocument/2006/relationships/worksheet" Target="/xl/worksheets/sheet5.xml" Id="R86ff71c008604031" /><Relationship Type="http://schemas.openxmlformats.org/officeDocument/2006/relationships/worksheet" Target="/xl/worksheets/sheet6.xml" Id="R3bf7a65638ed4df4" /><Relationship Type="http://schemas.openxmlformats.org/officeDocument/2006/relationships/worksheet" Target="/xl/worksheets/sheet7.xml" Id="Ra4b3fb4a558845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2e27abd18149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Aufgaben nach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Anzahl</c:v>
          </c:tx>
          <c:cat>
            <c:strRef>
              <c:f>'Dashboard'!$D$5:$D$10</c:f>
              <c:strCache>
                <c:ptCount val="0"/>
              </c:strCache>
            </c:strRef>
          </c:cat>
          <c:val>
            <c:numRef>
              <c:f>'Dashboard'!$E$5:$E$10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8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2e27abd18149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ufgabenTabelle" displayName="AufgabenTabelle" ref="A4:N36" headerRowCount="1">
  <x:tableColumns count="14">
    <x:tableColumn id="1" name="ID"/>
    <x:tableColumn id="2" name="Phase"/>
    <x:tableColumn id="3" name="Aufgabe"/>
    <x:tableColumn id="4" name="Beschreibung / Ergebnis"/>
    <x:tableColumn id="5" name="Verantwortlich"/>
    <x:tableColumn id="6" name="Vier-Augen / Prüfer"/>
    <x:tableColumn id="7" name="Abhängigkeit"/>
    <x:tableColumn id="8" name="Tage vor Event"/>
    <x:tableColumn id="9" name="Fällig am"/>
    <x:tableColumn id="10" name="Status"/>
    <x:tableColumn id="11" name="Priorität"/>
    <x:tableColumn id="12" name="Ampel"/>
    <x:tableColumn id="13" name="Fortschritt"/>
    <x:tableColumn id="14" name="Notizen"/>
  </x:tableColumns>
  <x:tableStyleInfo name="TableStyleMedium2" showRowStripes="1"/>
</x:table>
</file>

<file path=xl/tables/table2.xml><?xml version="1.0" encoding="utf-8"?>
<x:table xmlns:x="http://schemas.openxmlformats.org/spreadsheetml/2006/main" id="2" name="ChecklistenTabelle" displayName="ChecklistenTabelle" ref="A3:F15" headerRowCount="1">
  <x:tableColumns count="6">
    <x:tableColumn id="1" name="Bereich"/>
    <x:tableColumn id="2" name="Checkfrage"/>
    <x:tableColumn id="3" name="Zeitpunkt"/>
    <x:tableColumn id="4" name="Verantwortlich"/>
    <x:tableColumn id="5" name="Erledigt?"/>
    <x:tableColumn id="6" name="Notiz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d07240c01b742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f309c8b7a594d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003b56c904f44b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6" customHeight="1">
      <x:c r="A1" s="79" t="str">
        <x:v>DIWISH Event-Cockpit</x:v>
      </x:c>
    </x:row>
    <x:row r="2">
      <x:c r="A2" s="16" t="str">
        <x:v>Schneller Überblick über Fortschritt, Dringlichkeiten und nächste Aufgaben</x:v>
      </x:c>
    </x:row>
    <x:row r="4">
      <x:c r="A4" s="21" t="str">
        <x:v>Event</x:v>
      </x:c>
      <x:c r="B4" s="82" t="str">
        <x:f>'Event-Setup'!B4</x:f>
        <x:v>DIWISH Beispielveranstaltung</x:v>
      </x:c>
      <x:c r="D4" s="4" t="str">
        <x:v>Status</x:v>
      </x:c>
      <x:c r="E4" s="4" t="str">
        <x:v>Anzahl</x:v>
      </x:c>
      <x:c r="F4" s="4" t="str">
        <x:v>Anteil</x:v>
      </x:c>
    </x:row>
    <x:row r="5">
      <x:c r="A5" s="21" t="str">
        <x:v>Typ</x:v>
      </x:c>
      <x:c r="B5" s="82" t="str">
        <x:f>'Event-Setup'!B5</x:f>
        <x:v>Große Veranstaltung</x:v>
      </x:c>
      <x:c r="D5" t="str">
        <x:v>Nicht begonnen</x:v>
      </x:c>
      <x:c r="E5" t="n">
        <x:f>COUNTIF(Aufgabenplan!$J$5:$J$36,D5)</x:f>
        <x:v>32</x:v>
      </x:c>
      <x:c r="F5" s="50" t="n">
        <x:f>IFERROR(E5/SUM($E$5:$E$10),0)</x:f>
        <x:v>1</x:v>
      </x:c>
    </x:row>
    <x:row r="6">
      <x:c r="A6" s="21" t="str">
        <x:v>Datum</x:v>
      </x:c>
      <x:c r="B6" s="84" t="n">
        <x:f>'Event-Setup'!B6</x:f>
        <x:v>46280</x:v>
      </x:c>
      <x:c r="D6" t="str">
        <x:v>In Arbeit</x:v>
      </x:c>
      <x:c r="E6" t="n">
        <x:f>COUNTIF(Aufgabenplan!$J$5:$J$36,D6)</x:f>
        <x:v>0</x:v>
      </x:c>
      <x:c r="F6" s="50" t="n">
        <x:f>IFERROR(E6/SUM($E$5:$E$10),0)</x:f>
        <x:v>0</x:v>
      </x:c>
    </x:row>
    <x:row r="7">
      <x:c r="A7" s="21" t="str">
        <x:v>Tage bis Event</x:v>
      </x:c>
      <x:c r="B7" s="82" t="n">
        <x:f>'Event-Setup'!B6-TODAY()</x:f>
        <x:v>126</x:v>
      </x:c>
      <x:c r="D7" t="str">
        <x:v>Wartet auf Input</x:v>
      </x:c>
      <x:c r="E7" t="n">
        <x:f>COUNTIF(Aufgabenplan!$J$5:$J$36,D7)</x:f>
        <x:v>0</x:v>
      </x:c>
      <x:c r="F7" s="50" t="n">
        <x:f>IFERROR(E7/SUM($E$5:$E$10),0)</x:f>
        <x:v>0</x:v>
      </x:c>
    </x:row>
    <x:row r="8">
      <x:c r="A8" s="21" t="str">
        <x:v>Gesamtfortschritt</x:v>
      </x:c>
      <x:c r="B8" s="86" t="n">
        <x:f>AVERAGE(Aufgabenplan!M5:M36)</x:f>
        <x:v>0</x:v>
      </x:c>
      <x:c r="D8" t="str">
        <x:v>Blockiert</x:v>
      </x:c>
      <x:c r="E8" t="n">
        <x:f>COUNTIF(Aufgabenplan!$J$5:$J$36,D8)</x:f>
        <x:v>0</x:v>
      </x:c>
      <x:c r="F8" s="50" t="n">
        <x:f>IFERROR(E8/SUM($E$5:$E$10),0)</x:f>
        <x:v>0</x:v>
      </x:c>
    </x:row>
    <x:row r="9">
      <x:c r="A9" s="21" t="str">
        <x:v>Offene Aufgaben</x:v>
      </x:c>
      <x:c r="B9" s="82" t="n">
        <x:f>COUNTIFS(Aufgabenplan!J5:J36,"&lt;&gt;Erledigt",Aufgabenplan!J5:J36,"&lt;&gt;Entfällt")</x:f>
        <x:v>32</x:v>
      </x:c>
      <x:c r="D9" t="str">
        <x:v>Erledigt</x:v>
      </x:c>
      <x:c r="E9" t="n">
        <x:f>COUNTIF(Aufgabenplan!$J$5:$J$36,D9)</x:f>
        <x:v>0</x:v>
      </x:c>
      <x:c r="F9" s="50" t="n">
        <x:f>IFERROR(E9/SUM($E$5:$E$10),0)</x:f>
        <x:v>0</x:v>
      </x:c>
    </x:row>
    <x:row r="10">
      <x:c r="A10" s="21" t="str">
        <x:v>Überfällig / Rot</x:v>
      </x:c>
      <x:c r="B10" s="82" t="n">
        <x:f>COUNTIF(Aufgabenplan!L5:L36,"Rot")</x:f>
        <x:v>0</x:v>
      </x:c>
      <x:c r="D10" t="str">
        <x:v>Entfällt</x:v>
      </x:c>
      <x:c r="E10" t="n">
        <x:f>COUNTIF(Aufgabenplan!$J$5:$J$36,D10)</x:f>
        <x:v>0</x:v>
      </x:c>
      <x:c r="F10" s="50" t="n">
        <x:f>IFERROR(E10/SUM($E$5:$E$10),0)</x:f>
        <x:v>0</x:v>
      </x:c>
    </x:row>
    <x:row r="11">
      <x:c r="A11" s="21" t="str">
        <x:v>Diese Woche / Gelb</x:v>
      </x:c>
      <x:c r="B11" s="82" t="n">
        <x:f>COUNTIF(Aufgabenplan!L5:L36,"Gelb")</x:f>
        <x:v>1</x:v>
      </x:c>
    </x:row>
    <x:row r="12">
      <x:c r="A12" s="21" t="str">
        <x:v>Blockiert</x:v>
      </x:c>
      <x:c r="B12" s="82" t="n">
        <x:f>COUNTIF(Aufgabenplan!J5:J36,"Blockiert")</x:f>
        <x:v>0</x:v>
      </x:c>
    </x:row>
    <x:row r="13">
      <x:c r="A13" s="21" t="str">
        <x:v>Nächster Meilenstein</x:v>
      </x:c>
      <x:c r="B13" s="82" t="str">
        <x:f>IFERROR(INDEX(Aufgabenplan!C5:C36,MATCH(MINIFS(Aufgabenplan!I5:I36,Aufgabenplan!J5:J36,"&lt;&gt;Erledigt",Aufgabenplan!I5:I36,"&gt;="&amp;TODAY()),Aufgabenplan!I5:I36,0)),"Keine offene Aufgabe")</x:f>
        <x:v>Event-Idee und Ziel klären</x:v>
      </x:c>
    </x:row>
    <x:row r="16">
      <x:c r="A16" s="4" t="str">
        <x:v>Fokus für das nächste Team-Update</x:v>
      </x:c>
    </x:row>
    <x:row r="17">
      <x:c r="A17" s="21" t="str">
        <x:v>Frage</x:v>
      </x:c>
      <x:c r="B17" s="21" t="str">
        <x:v>Antwort / Link</x:v>
      </x:c>
    </x:row>
    <x:row r="18">
      <x:c r="A18" s="92" t="str">
        <x:v>Ist Zielgruppe klar?</x:v>
      </x:c>
      <x:c r="B18" s="93" t="str">
        <x:f>'Event-Setup'!B13</x:f>
        <x:v>Noch zu spezifizieren</x:v>
      </x:c>
    </x:row>
    <x:row r="19">
      <x:c r="A19" s="94" t="str">
        <x:v>Ist das Konzept im Vier-Augen-Check?</x:v>
      </x:c>
      <x:c r="B19" s="95" t="str">
        <x:f>IF(COUNTIF(Aufgabenplan!C:C,"Konzeptionsprüfung durchführen")&gt;0,"Siehe Aufgabenplan","")</x:f>
        <x:v>Siehe Aufgabenplan</x:v>
      </x:c>
    </x:row>
    <x:row r="20">
      <x:c r="A20" s="94" t="str">
        <x:v>Sind Raum und Catering auf Kurs?</x:v>
      </x:c>
      <x:c r="B20" s="95" t="str">
        <x:f>COUNTIFS(Aufgabenplan!B:B,"Raum &amp; Catering",Aufgabenplan!J:J,"&lt;&gt;Erledigt")&amp;" offene Aufgaben"</x:f>
        <x:v>5 offene Aufgaben</x:v>
      </x:c>
    </x:row>
    <x:row r="21">
      <x:c r="A21" s="94" t="str">
        <x:v>Hat Emily alle Kommunikationsinfos?</x:v>
      </x:c>
      <x:c r="B21" s="95" t="str">
        <x:f>IF(COUNTIFS(Aufgabenplan!C:C,"Kommunikationsbriefing an Emily",Aufgabenplan!J:J,"Erledigt")=1,"Ja","Noch prüfen")</x:f>
        <x:v>Noch prüfen</x:v>
      </x:c>
    </x:row>
    <x:row r="22">
      <x:c r="A22" s="96" t="str">
        <x:v>Sind Vor-Ort-Rollen geklärt?</x:v>
      </x:c>
      <x:c r="B22" s="97" t="str">
        <x:f>IF(COUNTIFS(Aufgabenplan!C:C,"Rollen vor Ort festlegen",Aufgabenplan!J:J,"Erledigt")=1,"Ja","Noch offen")</x:f>
        <x:v>Noch offen</x:v>
      </x:c>
    </x:row>
  </x:sheetData>
  <x:mergeCells>
    <x:mergeCell ref="A1:H1"/>
    <x:mergeCell ref="A2:H2"/>
    <x:mergeCell ref="A16:H16"/>
  </x:mergeCells>
  <x:conditionalFormatting sqref="E5:E10">
    <x:cfRule type="dataBar" priority="1">
      <x:dataBar>
        <x:cfvo type="min"/>
        <x:cfvo type="max"/>
        <x:color rgb="005CA9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9d07240c01b742b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005CA9"/>
            </x14:dataBar>
          </x14:cfRule>
          <xm:sqref>E5:E10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4" hidden="0" customWidth="1"/>
    <x:col min="4" max="4" width="28" hidden="0" customWidth="1"/>
    <x:col min="5" max="5" width="52" hidden="0" customWidth="1"/>
  </x:cols>
  <x:sheetData>
    <x:row r="1" ht="34" customHeight="1">
      <x:c r="A1" s="10" t="str">
        <x:v>DIWISH Event-Setup</x:v>
      </x:c>
    </x:row>
    <x:row r="2">
      <x:c r="A2" s="16" t="str">
        <x:v>Zentrale Event-Übersicht für schnellen Wissenstransfer im Team</x:v>
      </x:c>
    </x:row>
    <x:row r="4">
      <x:c r="A4" s="26" t="str">
        <x:v>Eventname</x:v>
      </x:c>
      <x:c r="B4" s="27" t="str">
        <x:v>DIWISH Beispielveranstaltung</x:v>
      </x:c>
      <x:c r="D4" s="4" t="str">
        <x:v>Team-Briefing: Was alle schnell wissen müssen</x:v>
      </x:c>
    </x:row>
    <x:row r="5">
      <x:c r="A5" s="26" t="str">
        <x:v>Event-Typ</x:v>
      </x:c>
      <x:c r="B5" s="27" t="str">
        <x:v>Große Veranstaltung</x:v>
      </x:c>
      <x:c r="D5" s="26" t="str">
        <x:v>Kurzbeschreibung</x:v>
      </x:c>
      <x:c r="E5" s="27" t="str">
        <x:f>B12</x:f>
        <x:v>Vernetzung, Wissenstransfer und Impulse für die digitale Wirtschaft in Schleswig-Holstein</x:v>
      </x:c>
    </x:row>
    <x:row r="6">
      <x:c r="A6" s="26" t="str">
        <x:v>Veranstaltungsdatum</x:v>
      </x:c>
      <x:c r="B6" s="30" t="n">
        <x:v>46280</x:v>
      </x:c>
      <x:c r="D6" s="26" t="str">
        <x:v>Warum relevant?</x:v>
      </x:c>
      <x:c r="E6" s="27" t="str">
        <x:f>B14</x:f>
        <x:v>Warum sollte die Zielgruppe teilnehmen?</x:v>
      </x:c>
    </x:row>
    <x:row r="7">
      <x:c r="A7" s="26" t="str">
        <x:v>Startzeit</x:v>
      </x:c>
      <x:c r="B7" s="27" t="str">
        <x:v>14:00</x:v>
      </x:c>
      <x:c r="D7" s="26" t="str">
        <x:v>Für wen?</x:v>
      </x:c>
      <x:c r="E7" s="27" t="str">
        <x:f>B13</x:f>
        <x:v>Noch zu spezifizieren</x:v>
      </x:c>
    </x:row>
    <x:row r="8">
      <x:c r="A8" s="26" t="str">
        <x:v>Endzeit</x:v>
      </x:c>
      <x:c r="B8" s="27" t="str">
        <x:v>18:00</x:v>
      </x:c>
      <x:c r="D8" s="26" t="str">
        <x:v>Was ist fix?</x:v>
      </x:c>
      <x:c r="E8" s="27" t="str">
        <x:v>Datum siehe B6 | Format und Ort siehe B9/B10</x:v>
      </x:c>
    </x:row>
    <x:row r="9">
      <x:c r="A9" s="26" t="str">
        <x:v>Format</x:v>
      </x:c>
      <x:c r="B9" s="27" t="str">
        <x:v>Präsenz</x:v>
      </x:c>
      <x:c r="D9" s="26" t="str">
        <x:v>Was ist noch offen?</x:v>
      </x:c>
      <x:c r="E9" s="27" t="str">
        <x:f>IF(B21="","Noch offen",B21)</x:f>
        <x:v>Noch offen</x:v>
      </x:c>
    </x:row>
    <x:row r="10">
      <x:c r="A10" s="26" t="str">
        <x:v>Ort / Raum</x:v>
      </x:c>
      <x:c r="B10" s="27" t="str">
        <x:v>Noch offen</x:v>
      </x:c>
      <x:c r="D10" s="26" t="str">
        <x:v>Nächster Entscheidungspunkt</x:v>
      </x:c>
      <x:c r="E10" s="27" t="str">
        <x:f>Dashboard!B13</x:f>
        <x:v>Event-Idee und Ziel klären</x:v>
      </x:c>
    </x:row>
    <x:row r="11">
      <x:c r="A11" s="26" t="str">
        <x:v>Kooperationspartner</x:v>
      </x:c>
      <x:c r="B11" s="27" t="str">
        <x:v>Noch offen</x:v>
      </x:c>
    </x:row>
    <x:row r="12">
      <x:c r="A12" s="26" t="str">
        <x:v>Ziel / Zweck</x:v>
      </x:c>
      <x:c r="B12" s="27" t="str">
        <x:v>Vernetzung, Wissenstransfer und Impulse für die digitale Wirtschaft in Schleswig-Holstein</x:v>
      </x:c>
    </x:row>
    <x:row r="13">
      <x:c r="A13" s="26" t="str">
        <x:v>Zielgruppe</x:v>
      </x:c>
      <x:c r="B13" s="27" t="str">
        <x:v>Noch zu spezifizieren</x:v>
      </x:c>
    </x:row>
    <x:row r="14">
      <x:c r="A14" s="26" t="str">
        <x:v>Kernbotschaft / Nutzenversprechen</x:v>
      </x:c>
      <x:c r="B14" s="27" t="str">
        <x:v>Warum sollte die Zielgruppe teilnehmen?</x:v>
      </x:c>
    </x:row>
    <x:row r="15">
      <x:c r="A15" s="26" t="str">
        <x:v>Konzeptions-Lead</x:v>
      </x:c>
      <x:c r="B15" s="27" t="str">
        <x:v>Johannes</x:v>
      </x:c>
    </x:row>
    <x:row r="16">
      <x:c r="A16" s="26" t="str">
        <x:v>Vier-Augen-Check durch</x:v>
      </x:c>
      <x:c r="B16" s="27" t="str">
        <x:v>Verena</x:v>
      </x:c>
    </x:row>
    <x:row r="17">
      <x:c r="A17" s="26" t="str">
        <x:v>Detailplanung</x:v>
      </x:c>
      <x:c r="B17" s="27" t="str">
        <x:v>Karin</x:v>
      </x:c>
    </x:row>
    <x:row r="18">
      <x:c r="A18" s="26" t="str">
        <x:v>Kommunikation / Öffentlichkeitsarbeit</x:v>
      </x:c>
      <x:c r="B18" s="27" t="str">
        <x:v>Emily</x:v>
      </x:c>
    </x:row>
    <x:row r="19">
      <x:c r="A19" s="26" t="str">
        <x:v>Registrierungslink</x:v>
      </x:c>
      <x:c r="B19" s="27" t="str">
        <x:v>Noch offen</x:v>
      </x:c>
    </x:row>
    <x:row r="20">
      <x:c r="A20" s="26" t="str">
        <x:v>Erwartete Teilnehmende</x:v>
      </x:c>
      <x:c r="B20" s="27" t="n">
        <x:v>60</x:v>
      </x:c>
    </x:row>
    <x:row r="21">
      <x:c r="A21" s="26" t="str">
        <x:v>Budget / Kostenrahmen</x:v>
      </x:c>
      <x:c r="B21" s="27" t="str"/>
    </x:row>
    <x:row r="22">
      <x:c r="A22" s="26" t="str">
        <x:v>Besonderheiten / Risiken</x:v>
      </x:c>
      <x:c r="B22" s="27" t="str"/>
    </x:row>
    <x:row r="23">
      <x:c r="A23" s="26" t="str">
        <x:v>Finales Go für Veröffentlichung</x:v>
      </x:c>
      <x:c r="B23" s="27" t="str">
        <x:v>Noch offen</x:v>
      </x:c>
    </x:row>
  </x:sheetData>
  <x:mergeCells>
    <x:mergeCell ref="A1:H1"/>
    <x:mergeCell ref="A2:H2"/>
    <x:mergeCell ref="D4:H4"/>
  </x:mergeCells>
  <x:dataValidations count="6">
    <x:dataValidation type="list" sqref="B5">
      <x:formula1>Dropdowns!$D$2:$D$4</x:formula1>
    </x:dataValidation>
    <x:dataValidation type="list" sqref="B15">
      <x:formula1>Dropdowns!$C$2:$C$9</x:formula1>
    </x:dataValidation>
    <x:dataValidation type="list" sqref="B16">
      <x:formula1>Dropdowns!$C$2:$C$9</x:formula1>
    </x:dataValidation>
    <x:dataValidation type="list" sqref="B17">
      <x:formula1>Dropdowns!$C$2:$C$9</x:formula1>
    </x:dataValidation>
    <x:dataValidation type="list" sqref="B18">
      <x:formula1>Dropdowns!$C$2:$C$9</x:formula1>
    </x:dataValidation>
    <x:dataValidation type="list" sqref="B23">
      <x:formula1>Dropdowns!$F$2:$F$4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30" hidden="0" customWidth="1"/>
    <x:col min="4" max="4" width="44" hidden="0" customWidth="1"/>
    <x:col min="5" max="5" width="18" hidden="0" customWidth="1"/>
    <x:col min="6" max="6" width="20" hidden="0" customWidth="1"/>
    <x:col min="7" max="7" width="18" hidden="0" customWidth="1"/>
    <x:col min="8" max="8" width="14" hidden="0" customWidth="1"/>
    <x:col min="9" max="9" width="14" hidden="0" customWidth="1"/>
    <x:col min="10" max="10" width="18" hidden="0" customWidth="1"/>
    <x:col min="11" max="11" width="12" hidden="0" customWidth="1"/>
    <x:col min="12" max="12" width="12" hidden="0" customWidth="1"/>
    <x:col min="13" max="13" width="12" hidden="0" customWidth="1"/>
    <x:col min="14" max="14" width="34" hidden="0" customWidth="1"/>
  </x:cols>
  <x:sheetData>
    <x:row r="1" ht="30" customHeight="1">
      <x:c r="A1" s="33" t="str">
        <x:v>DIWISH Event-Aufgabenplan mit Rückwärtsplanung</x:v>
      </x:c>
    </x:row>
    <x:row r="2">
      <x:c r="A2" s="38" t="str">
        <x:v>Fälligkeitsdaten werden vom Veranstaltungsdatum in Event-Setup!B6 zurückgerechnet. Status und Ampel steuern die Markierungen.</x:v>
      </x:c>
    </x:row>
    <x:row r="4">
      <x:c r="A4" s="70" t="str">
        <x:v>ID</x:v>
      </x:c>
      <x:c r="B4" s="70" t="str">
        <x:v>Phase</x:v>
      </x:c>
      <x:c r="C4" s="70" t="str">
        <x:v>Aufgabe</x:v>
      </x:c>
      <x:c r="D4" s="70" t="str">
        <x:v>Beschreibung / Ergebnis</x:v>
      </x:c>
      <x:c r="E4" s="70" t="str">
        <x:v>Verantwortlich</x:v>
      </x:c>
      <x:c r="F4" s="70" t="str">
        <x:v>Vier-Augen / Prüfer</x:v>
      </x:c>
      <x:c r="G4" s="70" t="str">
        <x:v>Abhängigkeit</x:v>
      </x:c>
      <x:c r="H4" s="70" t="str">
        <x:v>Tage vor Event</x:v>
      </x:c>
      <x:c r="I4" s="70" t="str">
        <x:v>Fällig am</x:v>
      </x:c>
      <x:c r="J4" s="70" t="str">
        <x:v>Status</x:v>
      </x:c>
      <x:c r="K4" s="70" t="str">
        <x:v>Priorität</x:v>
      </x:c>
      <x:c r="L4" s="70" t="str">
        <x:v>Ampel</x:v>
      </x:c>
      <x:c r="M4" s="70" t="str">
        <x:v>Fortschritt</x:v>
      </x:c>
      <x:c r="N4" s="70" t="str">
        <x:v>Notizen</x:v>
      </x:c>
    </x:row>
    <x:row r="5">
      <x:c r="A5" s="71" t="n">
        <x:v>1</x:v>
      </x:c>
      <x:c r="B5" s="71" t="str">
        <x:v>Konzeption</x:v>
      </x:c>
      <x:c r="C5" s="71" t="str">
        <x:v>Event-Idee und Ziel klären</x:v>
      </x:c>
      <x:c r="D5" s="71" t="str">
        <x:v>Ziel, Anlass, Nutzen und Erfolgskriterien definieren</x:v>
      </x:c>
      <x:c r="E5" s="71" t="str">
        <x:v>Johannes</x:v>
      </x:c>
      <x:c r="F5" s="71" t="str">
        <x:v>Verena</x:v>
      </x:c>
      <x:c r="G5" s="71" t="str">
        <x:v>Start</x:v>
      </x:c>
      <x:c r="H5" s="71" t="n">
        <x:v>120</x:v>
      </x:c>
      <x:c r="I5" s="72" t="n">
        <x:f>'Event-Setup'!$B$6-H5</x:f>
        <x:v>46160</x:v>
      </x:c>
      <x:c r="J5" s="71" t="str">
        <x:v>Nicht begonnen</x:v>
      </x:c>
      <x:c r="K5" s="71" t="str">
        <x:v>Hoch</x:v>
      </x:c>
      <x:c r="L5" s="71" t="str">
        <x:f>IF(J5="Erledigt","Grün",IF(J5="Entfällt","Grau",IF(OR(J5="Blockiert",I5&lt;TODAY()),"Rot",IF(I5&lt;=TODAY()+7,"Gelb","Blau"))))</x:f>
        <x:v>Gelb</x:v>
      </x:c>
      <x:c r="M5" s="73" t="n">
        <x:f>IF(J5="Erledigt",1,IF(J5="In Arbeit",0.5,IF(J5="Wartet auf Input",0.25,IF(J5="Entfällt",1,0))))</x:f>
        <x:v>0</x:v>
      </x:c>
      <x:c r="N5" s="71" t="str"/>
    </x:row>
    <x:row r="6">
      <x:c r="A6" s="71" t="n">
        <x:v>2</x:v>
      </x:c>
      <x:c r="B6" s="71" t="str">
        <x:v>Konzeption</x:v>
      </x:c>
      <x:c r="C6" s="71" t="str">
        <x:v>Event-Typ und Umfang festlegen</x:v>
      </x:c>
      <x:c r="D6" s="71" t="str">
        <x:v>Große Veranstaltung, Fachgruppe oder Kooperationsformat festlegen</x:v>
      </x:c>
      <x:c r="E6" s="71" t="str">
        <x:v>Johannes</x:v>
      </x:c>
      <x:c r="F6" s="71" t="str">
        <x:v>Verena</x:v>
      </x:c>
      <x:c r="G6" s="71" t="str">
        <x:v>1</x:v>
      </x:c>
      <x:c r="H6" s="71" t="n">
        <x:v>118</x:v>
      </x:c>
      <x:c r="I6" s="72" t="n">
        <x:f>'Event-Setup'!$B$6-H6</x:f>
        <x:v>46162</x:v>
      </x:c>
      <x:c r="J6" s="71" t="str">
        <x:v>Nicht begonnen</x:v>
      </x:c>
      <x:c r="K6" s="71" t="str">
        <x:v>Hoch</x:v>
      </x:c>
      <x:c r="L6" s="71" t="str">
        <x:f>IF(J6="Erledigt","Grün",IF(J6="Entfällt","Grau",IF(OR(J6="Blockiert",I6&lt;TODAY()),"Rot",IF(I6&lt;=TODAY()+7,"Gelb","Blau"))))</x:f>
        <x:v>Blau</x:v>
      </x:c>
      <x:c r="M6" s="73" t="n">
        <x:f>IF(J6="Erledigt",1,IF(J6="In Arbeit",0.5,IF(J6="Wartet auf Input",0.25,IF(J6="Entfällt",1,0))))</x:f>
        <x:v>0</x:v>
      </x:c>
      <x:c r="N6" s="71" t="str"/>
    </x:row>
    <x:row r="7">
      <x:c r="A7" s="71" t="n">
        <x:v>3</x:v>
      </x:c>
      <x:c r="B7" s="71" t="str">
        <x:v>Konzeption</x:v>
      </x:c>
      <x:c r="C7" s="71" t="str">
        <x:v>Zielgruppe spezifizieren</x:v>
      </x:c>
      <x:c r="D7" s="71" t="str">
        <x:v>Zielgruppe, Segmentierung und Einladungslogik festhalten</x:v>
      </x:c>
      <x:c r="E7" s="71" t="str">
        <x:v>Verena</x:v>
      </x:c>
      <x:c r="F7" s="71" t="str">
        <x:v>Johannes</x:v>
      </x:c>
      <x:c r="G7" s="71" t="str">
        <x:v>1</x:v>
      </x:c>
      <x:c r="H7" s="71" t="n">
        <x:v>115</x:v>
      </x:c>
      <x:c r="I7" s="72" t="n">
        <x:f>'Event-Setup'!$B$6-H7</x:f>
        <x:v>46165</x:v>
      </x:c>
      <x:c r="J7" s="71" t="str">
        <x:v>Nicht begonnen</x:v>
      </x:c>
      <x:c r="K7" s="71" t="str">
        <x:v>Hoch</x:v>
      </x:c>
      <x:c r="L7" s="71" t="str">
        <x:f>IF(J7="Erledigt","Grün",IF(J7="Entfällt","Grau",IF(OR(J7="Blockiert",I7&lt;TODAY()),"Rot",IF(I7&lt;=TODAY()+7,"Gelb","Blau"))))</x:f>
        <x:v>Blau</x:v>
      </x:c>
      <x:c r="M7" s="73" t="n">
        <x:f>IF(J7="Erledigt",1,IF(J7="In Arbeit",0.5,IF(J7="Wartet auf Input",0.25,IF(J7="Entfällt",1,0))))</x:f>
        <x:v>0</x:v>
      </x:c>
      <x:c r="N7" s="71" t="str"/>
    </x:row>
    <x:row r="8">
      <x:c r="A8" s="71" t="n">
        <x:v>4</x:v>
      </x:c>
      <x:c r="B8" s="71" t="str">
        <x:v>Konzeption</x:v>
      </x:c>
      <x:c r="C8" s="71" t="str">
        <x:v>Grobkonzept erstellen</x:v>
      </x:c>
      <x:c r="D8" s="71" t="str">
        <x:v>Agenda-Idee, Dramaturgie, Format, Zielbild und benötigte Ressourcen</x:v>
      </x:c>
      <x:c r="E8" s="71" t="str">
        <x:v>Johannes</x:v>
      </x:c>
      <x:c r="F8" s="71" t="str">
        <x:v>Verena</x:v>
      </x:c>
      <x:c r="G8" s="71" t="str">
        <x:v>1-3</x:v>
      </x:c>
      <x:c r="H8" s="71" t="n">
        <x:v>112</x:v>
      </x:c>
      <x:c r="I8" s="72" t="n">
        <x:f>'Event-Setup'!$B$6-H8</x:f>
        <x:v>46168</x:v>
      </x:c>
      <x:c r="J8" s="71" t="str">
        <x:v>Nicht begonnen</x:v>
      </x:c>
      <x:c r="K8" s="71" t="str">
        <x:v>Hoch</x:v>
      </x:c>
      <x:c r="L8" s="71" t="str">
        <x:f>IF(J8="Erledigt","Grün",IF(J8="Entfällt","Grau",IF(OR(J8="Blockiert",I8&lt;TODAY()),"Rot",IF(I8&lt;=TODAY()+7,"Gelb","Blau"))))</x:f>
        <x:v>Blau</x:v>
      </x:c>
      <x:c r="M8" s="73" t="n">
        <x:f>IF(J8="Erledigt",1,IF(J8="In Arbeit",0.5,IF(J8="Wartet auf Input",0.25,IF(J8="Entfällt",1,0))))</x:f>
        <x:v>0</x:v>
      </x:c>
      <x:c r="N8" s="71" t="str"/>
    </x:row>
    <x:row r="9">
      <x:c r="A9" s="71" t="n">
        <x:v>5</x:v>
      </x:c>
      <x:c r="B9" s="71" t="str">
        <x:v>Vier-Augen-Check</x:v>
      </x:c>
      <x:c r="C9" s="71" t="str">
        <x:v>Konzeptionsprüfung durchführen</x:v>
      </x:c>
      <x:c r="D9" s="71" t="str">
        <x:v>Prüfender Blick der anderen Konzeptionsperson: Lücken, Ideen, Risiken</x:v>
      </x:c>
      <x:c r="E9" s="71" t="str">
        <x:v>Verena</x:v>
      </x:c>
      <x:c r="F9" s="71" t="str">
        <x:v>Johannes</x:v>
      </x:c>
      <x:c r="G9" s="71" t="str">
        <x:v>4</x:v>
      </x:c>
      <x:c r="H9" s="71" t="n">
        <x:v>105</x:v>
      </x:c>
      <x:c r="I9" s="72" t="n">
        <x:f>'Event-Setup'!$B$6-H9</x:f>
        <x:v>46175</x:v>
      </x:c>
      <x:c r="J9" s="71" t="str">
        <x:v>Nicht begonnen</x:v>
      </x:c>
      <x:c r="K9" s="71" t="str">
        <x:v>Hoch</x:v>
      </x:c>
      <x:c r="L9" s="71" t="str">
        <x:f>IF(J9="Erledigt","Grün",IF(J9="Entfällt","Grau",IF(OR(J9="Blockiert",I9&lt;TODAY()),"Rot",IF(I9&lt;=TODAY()+7,"Gelb","Blau"))))</x:f>
        <x:v>Blau</x:v>
      </x:c>
      <x:c r="M9" s="73" t="n">
        <x:f>IF(J9="Erledigt",1,IF(J9="In Arbeit",0.5,IF(J9="Wartet auf Input",0.25,IF(J9="Entfällt",1,0))))</x:f>
        <x:v>0</x:v>
      </x:c>
      <x:c r="N9" s="71" t="str"/>
    </x:row>
    <x:row r="10">
      <x:c r="A10" s="71" t="n">
        <x:v>6</x:v>
      </x:c>
      <x:c r="B10" s="71" t="str">
        <x:v>Partner &amp; Stakeholder</x:v>
      </x:c>
      <x:c r="C10" s="71" t="str">
        <x:v>Kooperationspartner klären</x:v>
      </x:c>
      <x:c r="D10" s="71" t="str">
        <x:v>Rollen, Beiträge, Abstimmungen und Freigaben mit Partnern festlegen</x:v>
      </x:c>
      <x:c r="E10" s="71" t="str">
        <x:v>Johannes</x:v>
      </x:c>
      <x:c r="F10" s="71" t="str">
        <x:v>Verena</x:v>
      </x:c>
      <x:c r="G10" s="71" t="str">
        <x:v>4</x:v>
      </x:c>
      <x:c r="H10" s="71" t="n">
        <x:v>100</x:v>
      </x:c>
      <x:c r="I10" s="72" t="n">
        <x:f>'Event-Setup'!$B$6-H10</x:f>
        <x:v>46180</x:v>
      </x:c>
      <x:c r="J10" s="71" t="str">
        <x:v>Nicht begonnen</x:v>
      </x:c>
      <x:c r="K10" s="71" t="str">
        <x:v>Mittel</x:v>
      </x:c>
      <x:c r="L10" s="71" t="str">
        <x:f>IF(J10="Erledigt","Grün",IF(J10="Entfällt","Grau",IF(OR(J10="Blockiert",I10&lt;TODAY()),"Rot",IF(I10&lt;=TODAY()+7,"Gelb","Blau"))))</x:f>
        <x:v>Blau</x:v>
      </x:c>
      <x:c r="M10" s="73" t="n">
        <x:f>IF(J10="Erledigt",1,IF(J10="In Arbeit",0.5,IF(J10="Wartet auf Input",0.25,IF(J10="Entfällt",1,0))))</x:f>
        <x:v>0</x:v>
      </x:c>
      <x:c r="N10" s="71" t="str"/>
    </x:row>
    <x:row r="11">
      <x:c r="A11" s="71" t="n">
        <x:v>7</x:v>
      </x:c>
      <x:c r="B11" s="71" t="str">
        <x:v>Raum &amp; Catering</x:v>
      </x:c>
      <x:c r="C11" s="71" t="str">
        <x:v>Raumsuche starten</x:v>
      </x:c>
      <x:c r="D11" s="71" t="str">
        <x:v>Optionen recherchieren, Verfügbarkeit prüfen und Raum reservieren</x:v>
      </x:c>
      <x:c r="E11" s="71" t="str">
        <x:v>Karin</x:v>
      </x:c>
      <x:c r="F11" s="71" t="str">
        <x:v>Johannes</x:v>
      </x:c>
      <x:c r="G11" s="71" t="str">
        <x:v>4</x:v>
      </x:c>
      <x:c r="H11" s="71" t="n">
        <x:v>100</x:v>
      </x:c>
      <x:c r="I11" s="72" t="n">
        <x:f>'Event-Setup'!$B$6-H11</x:f>
        <x:v>46180</x:v>
      </x:c>
      <x:c r="J11" s="71" t="str">
        <x:v>Nicht begonnen</x:v>
      </x:c>
      <x:c r="K11" s="71" t="str">
        <x:v>Hoch</x:v>
      </x:c>
      <x:c r="L11" s="71" t="str">
        <x:f>IF(J11="Erledigt","Grün",IF(J11="Entfällt","Grau",IF(OR(J11="Blockiert",I11&lt;TODAY()),"Rot",IF(I11&lt;=TODAY()+7,"Gelb","Blau"))))</x:f>
        <x:v>Blau</x:v>
      </x:c>
      <x:c r="M11" s="73" t="n">
        <x:f>IF(J11="Erledigt",1,IF(J11="In Arbeit",0.5,IF(J11="Wartet auf Input",0.25,IF(J11="Entfällt",1,0))))</x:f>
        <x:v>0</x:v>
      </x:c>
      <x:c r="N11" s="71" t="str"/>
    </x:row>
    <x:row r="12">
      <x:c r="A12" s="71" t="n">
        <x:v>8</x:v>
      </x:c>
      <x:c r="B12" s="71" t="str">
        <x:v>Raum &amp; Catering</x:v>
      </x:c>
      <x:c r="C12" s="71" t="str">
        <x:v>Raum final buchen</x:v>
      </x:c>
      <x:c r="D12" s="71" t="str">
        <x:v>Ort, Raumsetup, Barrierefreiheit, Ansprechpartner vor Ort und Konditionen fixieren</x:v>
      </x:c>
      <x:c r="E12" s="71" t="str">
        <x:v>Karin</x:v>
      </x:c>
      <x:c r="F12" s="71" t="str">
        <x:v>Johannes</x:v>
      </x:c>
      <x:c r="G12" s="71" t="str">
        <x:v>7</x:v>
      </x:c>
      <x:c r="H12" s="71" t="n">
        <x:v>84</x:v>
      </x:c>
      <x:c r="I12" s="72" t="n">
        <x:f>'Event-Setup'!$B$6-H12</x:f>
        <x:v>46196</x:v>
      </x:c>
      <x:c r="J12" s="71" t="str">
        <x:v>Nicht begonnen</x:v>
      </x:c>
      <x:c r="K12" s="71" t="str">
        <x:v>Hoch</x:v>
      </x:c>
      <x:c r="L12" s="71" t="str">
        <x:f>IF(J12="Erledigt","Grün",IF(J12="Entfällt","Grau",IF(OR(J12="Blockiert",I12&lt;TODAY()),"Rot",IF(I12&lt;=TODAY()+7,"Gelb","Blau"))))</x:f>
        <x:v>Blau</x:v>
      </x:c>
      <x:c r="M12" s="73" t="n">
        <x:f>IF(J12="Erledigt",1,IF(J12="In Arbeit",0.5,IF(J12="Wartet auf Input",0.25,IF(J12="Entfällt",1,0))))</x:f>
        <x:v>0</x:v>
      </x:c>
      <x:c r="N12" s="71" t="str"/>
    </x:row>
    <x:row r="13">
      <x:c r="A13" s="71" t="n">
        <x:v>9</x:v>
      </x:c>
      <x:c r="B13" s="71" t="str">
        <x:v>Referenten</x:v>
      </x:c>
      <x:c r="C13" s="71" t="str">
        <x:v>Referentenbedarf bestimmen</x:v>
      </x:c>
      <x:c r="D13" s="71" t="str">
        <x:v>Welche Impulse, Panels oder Moderationsrollen werden benötigt?</x:v>
      </x:c>
      <x:c r="E13" s="71" t="str">
        <x:v>Johannes</x:v>
      </x:c>
      <x:c r="F13" s="71" t="str">
        <x:v>Verena</x:v>
      </x:c>
      <x:c r="G13" s="71" t="str">
        <x:v>4</x:v>
      </x:c>
      <x:c r="H13" s="71" t="n">
        <x:v>98</x:v>
      </x:c>
      <x:c r="I13" s="72" t="n">
        <x:f>'Event-Setup'!$B$6-H13</x:f>
        <x:v>46182</x:v>
      </x:c>
      <x:c r="J13" s="71" t="str">
        <x:v>Nicht begonnen</x:v>
      </x:c>
      <x:c r="K13" s="71" t="str">
        <x:v>Hoch</x:v>
      </x:c>
      <x:c r="L13" s="71" t="str">
        <x:f>IF(J13="Erledigt","Grün",IF(J13="Entfällt","Grau",IF(OR(J13="Blockiert",I13&lt;TODAY()),"Rot",IF(I13&lt;=TODAY()+7,"Gelb","Blau"))))</x:f>
        <x:v>Blau</x:v>
      </x:c>
      <x:c r="M13" s="73" t="n">
        <x:f>IF(J13="Erledigt",1,IF(J13="In Arbeit",0.5,IF(J13="Wartet auf Input",0.25,IF(J13="Entfällt",1,0))))</x:f>
        <x:v>0</x:v>
      </x:c>
      <x:c r="N13" s="71" t="str"/>
    </x:row>
    <x:row r="14">
      <x:c r="A14" s="71" t="n">
        <x:v>10</x:v>
      </x:c>
      <x:c r="B14" s="71" t="str">
        <x:v>Referenten</x:v>
      </x:c>
      <x:c r="C14" s="71" t="str">
        <x:v>Referenten ansprechen</x:v>
      </x:c>
      <x:c r="D14" s="71" t="str">
        <x:v>Ansprache, Briefingrahmen und Erwartungsmanagement</x:v>
      </x:c>
      <x:c r="E14" s="71" t="str">
        <x:v>Johannes</x:v>
      </x:c>
      <x:c r="F14" s="71" t="str">
        <x:v>Verena</x:v>
      </x:c>
      <x:c r="G14" s="71" t="str">
        <x:v>9</x:v>
      </x:c>
      <x:c r="H14" s="71" t="n">
        <x:v>90</x:v>
      </x:c>
      <x:c r="I14" s="72" t="n">
        <x:f>'Event-Setup'!$B$6-H14</x:f>
        <x:v>46190</x:v>
      </x:c>
      <x:c r="J14" s="71" t="str">
        <x:v>Nicht begonnen</x:v>
      </x:c>
      <x:c r="K14" s="71" t="str">
        <x:v>Hoch</x:v>
      </x:c>
      <x:c r="L14" s="71" t="str">
        <x:f>IF(J14="Erledigt","Grün",IF(J14="Entfällt","Grau",IF(OR(J14="Blockiert",I14&lt;TODAY()),"Rot",IF(I14&lt;=TODAY()+7,"Gelb","Blau"))))</x:f>
        <x:v>Blau</x:v>
      </x:c>
      <x:c r="M14" s="73" t="n">
        <x:f>IF(J14="Erledigt",1,IF(J14="In Arbeit",0.5,IF(J14="Wartet auf Input",0.25,IF(J14="Entfällt",1,0))))</x:f>
        <x:v>0</x:v>
      </x:c>
      <x:c r="N14" s="71" t="str"/>
    </x:row>
    <x:row r="15">
      <x:c r="A15" s="71" t="n">
        <x:v>11</x:v>
      </x:c>
      <x:c r="B15" s="71" t="str">
        <x:v>Referenten</x:v>
      </x:c>
      <x:c r="C15" s="71" t="str">
        <x:v>Referenten final bestätigen</x:v>
      </x:c>
      <x:c r="D15" s="71" t="str">
        <x:v>Titel, Bio, Foto, Vortragstitel, Technikbedarf und Freigabe sichern</x:v>
      </x:c>
      <x:c r="E15" s="71" t="str">
        <x:v>Johannes</x:v>
      </x:c>
      <x:c r="F15" s="71" t="str">
        <x:v>Emily</x:v>
      </x:c>
      <x:c r="G15" s="71" t="str">
        <x:v>10</x:v>
      </x:c>
      <x:c r="H15" s="71" t="n">
        <x:v>60</x:v>
      </x:c>
      <x:c r="I15" s="72" t="n">
        <x:f>'Event-Setup'!$B$6-H15</x:f>
        <x:v>46220</x:v>
      </x:c>
      <x:c r="J15" s="71" t="str">
        <x:v>Nicht begonnen</x:v>
      </x:c>
      <x:c r="K15" s="71" t="str">
        <x:v>Hoch</x:v>
      </x:c>
      <x:c r="L15" s="71" t="str">
        <x:f>IF(J15="Erledigt","Grün",IF(J15="Entfällt","Grau",IF(OR(J15="Blockiert",I15&lt;TODAY()),"Rot",IF(I15&lt;=TODAY()+7,"Gelb","Blau"))))</x:f>
        <x:v>Blau</x:v>
      </x:c>
      <x:c r="M15" s="73" t="n">
        <x:f>IF(J15="Erledigt",1,IF(J15="In Arbeit",0.5,IF(J15="Wartet auf Input",0.25,IF(J15="Entfällt",1,0))))</x:f>
        <x:v>0</x:v>
      </x:c>
      <x:c r="N15" s="71" t="str"/>
    </x:row>
    <x:row r="16">
      <x:c r="A16" s="71" t="n">
        <x:v>12</x:v>
      </x:c>
      <x:c r="B16" s="71" t="str">
        <x:v>Kommunikation &amp; Öffentlichkeitsarbeit</x:v>
      </x:c>
      <x:c r="C16" s="71" t="str">
        <x:v>Teasertext / redaktionellen Text erstellen</x:v>
      </x:c>
      <x:c r="D16" s="71" t="str">
        <x:v>Titel, Kurztext, Langtext, Call-to-Action und Nutzenversprechen</x:v>
      </x:c>
      <x:c r="E16" s="71" t="str">
        <x:v>Emily</x:v>
      </x:c>
      <x:c r="F16" s="71" t="str">
        <x:v>Johannes</x:v>
      </x:c>
      <x:c r="G16" s="71" t="str">
        <x:v>3-5</x:v>
      </x:c>
      <x:c r="H16" s="71" t="n">
        <x:v>70</x:v>
      </x:c>
      <x:c r="I16" s="72" t="n">
        <x:f>'Event-Setup'!$B$6-H16</x:f>
        <x:v>46210</x:v>
      </x:c>
      <x:c r="J16" s="71" t="str">
        <x:v>Nicht begonnen</x:v>
      </x:c>
      <x:c r="K16" s="71" t="str">
        <x:v>Hoch</x:v>
      </x:c>
      <x:c r="L16" s="71" t="str">
        <x:f>IF(J16="Erledigt","Grün",IF(J16="Entfällt","Grau",IF(OR(J16="Blockiert",I16&lt;TODAY()),"Rot",IF(I16&lt;=TODAY()+7,"Gelb","Blau"))))</x:f>
        <x:v>Blau</x:v>
      </x:c>
      <x:c r="M16" s="73" t="n">
        <x:f>IF(J16="Erledigt",1,IF(J16="In Arbeit",0.5,IF(J16="Wartet auf Input",0.25,IF(J16="Entfällt",1,0))))</x:f>
        <x:v>0</x:v>
      </x:c>
      <x:c r="N16" s="71" t="str"/>
    </x:row>
    <x:row r="17">
      <x:c r="A17" s="71" t="n">
        <x:v>13</x:v>
      </x:c>
      <x:c r="B17" s="71" t="str">
        <x:v>Kommunikation &amp; Öffentlichkeitsarbeit</x:v>
      </x:c>
      <x:c r="C17" s="71" t="str">
        <x:v>Kommunikationsbriefing an Emily</x:v>
      </x:c>
      <x:c r="D17" s="71" t="str">
        <x:v>Alle Infos: Zielgruppe, Ziel, Agenda, Speaker, Partner, Ort, Link</x:v>
      </x:c>
      <x:c r="E17" s="71" t="str">
        <x:v>Johannes</x:v>
      </x:c>
      <x:c r="F17" s="71" t="str">
        <x:v>Emily</x:v>
      </x:c>
      <x:c r="G17" s="71" t="str">
        <x:v>3-5,12</x:v>
      </x:c>
      <x:c r="H17" s="71" t="n">
        <x:v>65</x:v>
      </x:c>
      <x:c r="I17" s="72" t="n">
        <x:f>'Event-Setup'!$B$6-H17</x:f>
        <x:v>46215</x:v>
      </x:c>
      <x:c r="J17" s="71" t="str">
        <x:v>Nicht begonnen</x:v>
      </x:c>
      <x:c r="K17" s="71" t="str">
        <x:v>Hoch</x:v>
      </x:c>
      <x:c r="L17" s="71" t="str">
        <x:f>IF(J17="Erledigt","Grün",IF(J17="Entfällt","Grau",IF(OR(J17="Blockiert",I17&lt;TODAY()),"Rot",IF(I17&lt;=TODAY()+7,"Gelb","Blau"))))</x:f>
        <x:v>Blau</x:v>
      </x:c>
      <x:c r="M17" s="73" t="n">
        <x:f>IF(J17="Erledigt",1,IF(J17="In Arbeit",0.5,IF(J17="Wartet auf Input",0.25,IF(J17="Entfällt",1,0))))</x:f>
        <x:v>0</x:v>
      </x:c>
      <x:c r="N17" s="71" t="str"/>
    </x:row>
    <x:row r="18">
      <x:c r="A18" s="71" t="n">
        <x:v>14</x:v>
      </x:c>
      <x:c r="B18" s="71" t="str">
        <x:v>Kommunikation &amp; Öffentlichkeitsarbeit</x:v>
      </x:c>
      <x:c r="C18" s="71" t="str">
        <x:v>Einladungsliste / Verteiler definieren</x:v>
      </x:c>
      <x:c r="D18" s="71" t="str">
        <x:v>Wen laden wir aktiv ein? DIWISH-Verteiler, Fachgruppe, Partnernetzwerk</x:v>
      </x:c>
      <x:c r="E18" s="71" t="str">
        <x:v>Emily</x:v>
      </x:c>
      <x:c r="F18" s="71" t="str">
        <x:v>Verena</x:v>
      </x:c>
      <x:c r="G18" s="71" t="str">
        <x:v>3,13</x:v>
      </x:c>
      <x:c r="H18" s="71" t="n">
        <x:v>60</x:v>
      </x:c>
      <x:c r="I18" s="72" t="n">
        <x:f>'Event-Setup'!$B$6-H18</x:f>
        <x:v>46220</x:v>
      </x:c>
      <x:c r="J18" s="71" t="str">
        <x:v>Nicht begonnen</x:v>
      </x:c>
      <x:c r="K18" s="71" t="str">
        <x:v>Hoch</x:v>
      </x:c>
      <x:c r="L18" s="71" t="str">
        <x:f>IF(J18="Erledigt","Grün",IF(J18="Entfällt","Grau",IF(OR(J18="Blockiert",I18&lt;TODAY()),"Rot",IF(I18&lt;=TODAY()+7,"Gelb","Blau"))))</x:f>
        <x:v>Blau</x:v>
      </x:c>
      <x:c r="M18" s="73" t="n">
        <x:f>IF(J18="Erledigt",1,IF(J18="In Arbeit",0.5,IF(J18="Wartet auf Input",0.25,IF(J18="Entfällt",1,0))))</x:f>
        <x:v>0</x:v>
      </x:c>
      <x:c r="N18" s="71" t="str"/>
    </x:row>
    <x:row r="19">
      <x:c r="A19" s="71" t="n">
        <x:v>15</x:v>
      </x:c>
      <x:c r="B19" s="71" t="str">
        <x:v>Kommunikation &amp; Öffentlichkeitsarbeit</x:v>
      </x:c>
      <x:c r="C19" s="71" t="str">
        <x:v>Anmeldeseite / Formular aufsetzen</x:v>
      </x:c>
      <x:c r="D19" s="71" t="str">
        <x:v>Anmeldung, Datenschutz, Rückfragen, Kapazität, Bestätigungsmail</x:v>
      </x:c>
      <x:c r="E19" s="71" t="str">
        <x:v>Emily</x:v>
      </x:c>
      <x:c r="F19" s="71" t="str">
        <x:v>Karin</x:v>
      </x:c>
      <x:c r="G19" s="71" t="str">
        <x:v>12-14</x:v>
      </x:c>
      <x:c r="H19" s="71" t="n">
        <x:v>55</x:v>
      </x:c>
      <x:c r="I19" s="72" t="n">
        <x:f>'Event-Setup'!$B$6-H19</x:f>
        <x:v>46225</x:v>
      </x:c>
      <x:c r="J19" s="71" t="str">
        <x:v>Nicht begonnen</x:v>
      </x:c>
      <x:c r="K19" s="71" t="str">
        <x:v>Hoch</x:v>
      </x:c>
      <x:c r="L19" s="71" t="str">
        <x:f>IF(J19="Erledigt","Grün",IF(J19="Entfällt","Grau",IF(OR(J19="Blockiert",I19&lt;TODAY()),"Rot",IF(I19&lt;=TODAY()+7,"Gelb","Blau"))))</x:f>
        <x:v>Blau</x:v>
      </x:c>
      <x:c r="M19" s="73" t="n">
        <x:f>IF(J19="Erledigt",1,IF(J19="In Arbeit",0.5,IF(J19="Wartet auf Input",0.25,IF(J19="Entfällt",1,0))))</x:f>
        <x:v>0</x:v>
      </x:c>
      <x:c r="N19" s="71" t="str"/>
    </x:row>
    <x:row r="20">
      <x:c r="A20" s="71" t="n">
        <x:v>16</x:v>
      </x:c>
      <x:c r="B20" s="71" t="str">
        <x:v>Kommunikation &amp; Öffentlichkeitsarbeit</x:v>
      </x:c>
      <x:c r="C20" s="71" t="str">
        <x:v>Einladung versenden</x:v>
      </x:c>
      <x:c r="D20" s="71" t="str">
        <x:v>Newsletter, Mailings und Partnerkommunikation starten</x:v>
      </x:c>
      <x:c r="E20" s="71" t="str">
        <x:v>Emily</x:v>
      </x:c>
      <x:c r="F20" s="71" t="str">
        <x:v>Johannes</x:v>
      </x:c>
      <x:c r="G20" s="71" t="str">
        <x:v>12-15</x:v>
      </x:c>
      <x:c r="H20" s="71" t="n">
        <x:v>42</x:v>
      </x:c>
      <x:c r="I20" s="72" t="n">
        <x:f>'Event-Setup'!$B$6-H20</x:f>
        <x:v>46238</x:v>
      </x:c>
      <x:c r="J20" s="71" t="str">
        <x:v>Nicht begonnen</x:v>
      </x:c>
      <x:c r="K20" s="71" t="str">
        <x:v>Hoch</x:v>
      </x:c>
      <x:c r="L20" s="71" t="str">
        <x:f>IF(J20="Erledigt","Grün",IF(J20="Entfällt","Grau",IF(OR(J20="Blockiert",I20&lt;TODAY()),"Rot",IF(I20&lt;=TODAY()+7,"Gelb","Blau"))))</x:f>
        <x:v>Blau</x:v>
      </x:c>
      <x:c r="M20" s="73" t="n">
        <x:f>IF(J20="Erledigt",1,IF(J20="In Arbeit",0.5,IF(J20="Wartet auf Input",0.25,IF(J20="Entfällt",1,0))))</x:f>
        <x:v>0</x:v>
      </x:c>
      <x:c r="N20" s="71" t="str"/>
    </x:row>
    <x:row r="21">
      <x:c r="A21" s="71" t="n">
        <x:v>17</x:v>
      </x:c>
      <x:c r="B21" s="71" t="str">
        <x:v>Kommunikation &amp; Öffentlichkeitsarbeit</x:v>
      </x:c>
      <x:c r="C21" s="71" t="str">
        <x:v>Social-Media-Plan erstellen</x:v>
      </x:c>
      <x:c r="D21" s="71" t="str">
        <x:v>Posts, Visuals, Veröffentlichungstermine und Reminder planen</x:v>
      </x:c>
      <x:c r="E21" s="71" t="str">
        <x:v>Emily</x:v>
      </x:c>
      <x:c r="F21" s="71" t="str">
        <x:v>Johannes</x:v>
      </x:c>
      <x:c r="G21" s="71" t="str">
        <x:v>12-15</x:v>
      </x:c>
      <x:c r="H21" s="71" t="n">
        <x:v>40</x:v>
      </x:c>
      <x:c r="I21" s="72" t="n">
        <x:f>'Event-Setup'!$B$6-H21</x:f>
        <x:v>46240</x:v>
      </x:c>
      <x:c r="J21" s="71" t="str">
        <x:v>Nicht begonnen</x:v>
      </x:c>
      <x:c r="K21" s="71" t="str">
        <x:v>Mittel</x:v>
      </x:c>
      <x:c r="L21" s="71" t="str">
        <x:f>IF(J21="Erledigt","Grün",IF(J21="Entfällt","Grau",IF(OR(J21="Blockiert",I21&lt;TODAY()),"Rot",IF(I21&lt;=TODAY()+7,"Gelb","Blau"))))</x:f>
        <x:v>Blau</x:v>
      </x:c>
      <x:c r="M21" s="73" t="n">
        <x:f>IF(J21="Erledigt",1,IF(J21="In Arbeit",0.5,IF(J21="Wartet auf Input",0.25,IF(J21="Entfällt",1,0))))</x:f>
        <x:v>0</x:v>
      </x:c>
      <x:c r="N21" s="71" t="str"/>
    </x:row>
    <x:row r="22">
      <x:c r="A22" s="71" t="n">
        <x:v>18</x:v>
      </x:c>
      <x:c r="B22" s="71" t="str">
        <x:v>Kommunikation &amp; Öffentlichkeitsarbeit</x:v>
      </x:c>
      <x:c r="C22" s="71" t="str">
        <x:v>ÖA-Reminder veröffentlichen</x:v>
      </x:c>
      <x:c r="D22" s="71" t="str">
        <x:v>Erinnerungsposts, Newsletter-Reminder, persönliche Nachfassaktionen</x:v>
      </x:c>
      <x:c r="E22" s="71" t="str">
        <x:v>Emily</x:v>
      </x:c>
      <x:c r="F22" s="71" t="str">
        <x:v>Verena</x:v>
      </x:c>
      <x:c r="G22" s="71" t="str">
        <x:v>16-17</x:v>
      </x:c>
      <x:c r="H22" s="71" t="n">
        <x:v>21</x:v>
      </x:c>
      <x:c r="I22" s="72" t="n">
        <x:f>'Event-Setup'!$B$6-H22</x:f>
        <x:v>46259</x:v>
      </x:c>
      <x:c r="J22" s="71" t="str">
        <x:v>Nicht begonnen</x:v>
      </x:c>
      <x:c r="K22" s="71" t="str">
        <x:v>Mittel</x:v>
      </x:c>
      <x:c r="L22" s="71" t="str">
        <x:f>IF(J22="Erledigt","Grün",IF(J22="Entfällt","Grau",IF(OR(J22="Blockiert",I22&lt;TODAY()),"Rot",IF(I22&lt;=TODAY()+7,"Gelb","Blau"))))</x:f>
        <x:v>Blau</x:v>
      </x:c>
      <x:c r="M22" s="73" t="n">
        <x:f>IF(J22="Erledigt",1,IF(J22="In Arbeit",0.5,IF(J22="Wartet auf Input",0.25,IF(J22="Entfällt",1,0))))</x:f>
        <x:v>0</x:v>
      </x:c>
      <x:c r="N22" s="71" t="str"/>
    </x:row>
    <x:row r="23">
      <x:c r="A23" s="71" t="n">
        <x:v>19</x:v>
      </x:c>
      <x:c r="B23" s="71" t="str">
        <x:v>Material &amp; Technik</x:v>
      </x:c>
      <x:c r="C23" s="71" t="str">
        <x:v>Materialbedarf prüfen</x:v>
      </x:c>
      <x:c r="D23" s="71" t="str">
        <x:v>Beachflags, Roll-up, Flyer, Namensschilder, DIWISH-Materialien</x:v>
      </x:c>
      <x:c r="E23" s="71" t="str">
        <x:v>Karin</x:v>
      </x:c>
      <x:c r="F23" s="71" t="str">
        <x:v>Emily</x:v>
      </x:c>
      <x:c r="G23" s="71" t="str">
        <x:v>4</x:v>
      </x:c>
      <x:c r="H23" s="71" t="n">
        <x:v>35</x:v>
      </x:c>
      <x:c r="I23" s="72" t="n">
        <x:f>'Event-Setup'!$B$6-H23</x:f>
        <x:v>46245</x:v>
      </x:c>
      <x:c r="J23" s="71" t="str">
        <x:v>Nicht begonnen</x:v>
      </x:c>
      <x:c r="K23" s="71" t="str">
        <x:v>Mittel</x:v>
      </x:c>
      <x:c r="L23" s="71" t="str">
        <x:f>IF(J23="Erledigt","Grün",IF(J23="Entfällt","Grau",IF(OR(J23="Blockiert",I23&lt;TODAY()),"Rot",IF(I23&lt;=TODAY()+7,"Gelb","Blau"))))</x:f>
        <x:v>Blau</x:v>
      </x:c>
      <x:c r="M23" s="73" t="n">
        <x:f>IF(J23="Erledigt",1,IF(J23="In Arbeit",0.5,IF(J23="Wartet auf Input",0.25,IF(J23="Entfällt",1,0))))</x:f>
        <x:v>0</x:v>
      </x:c>
      <x:c r="N23" s="71" t="str"/>
    </x:row>
    <x:row r="24">
      <x:c r="A24" s="71" t="n">
        <x:v>20</x:v>
      </x:c>
      <x:c r="B24" s="71" t="str">
        <x:v>Material &amp; Technik</x:v>
      </x:c>
      <x:c r="C24" s="71" t="str">
        <x:v>Technikbedarf klären</x:v>
      </x:c>
      <x:c r="D24" s="71" t="str">
        <x:v>Mikrofone, Beamer, Adapter, WLAN, Ton, Streaming, Präsentationsrechner</x:v>
      </x:c>
      <x:c r="E24" s="71" t="str">
        <x:v>Karin</x:v>
      </x:c>
      <x:c r="F24" s="71" t="str">
        <x:v>Johannes</x:v>
      </x:c>
      <x:c r="G24" s="71" t="str">
        <x:v>8,11</x:v>
      </x:c>
      <x:c r="H24" s="71" t="n">
        <x:v>28</x:v>
      </x:c>
      <x:c r="I24" s="72" t="n">
        <x:f>'Event-Setup'!$B$6-H24</x:f>
        <x:v>46252</x:v>
      </x:c>
      <x:c r="J24" s="71" t="str">
        <x:v>Nicht begonnen</x:v>
      </x:c>
      <x:c r="K24" s="71" t="str">
        <x:v>Hoch</x:v>
      </x:c>
      <x:c r="L24" s="71" t="str">
        <x:f>IF(J24="Erledigt","Grün",IF(J24="Entfällt","Grau",IF(OR(J24="Blockiert",I24&lt;TODAY()),"Rot",IF(I24&lt;=TODAY()+7,"Gelb","Blau"))))</x:f>
        <x:v>Blau</x:v>
      </x:c>
      <x:c r="M24" s="73" t="n">
        <x:f>IF(J24="Erledigt",1,IF(J24="In Arbeit",0.5,IF(J24="Wartet auf Input",0.25,IF(J24="Entfällt",1,0))))</x:f>
        <x:v>0</x:v>
      </x:c>
      <x:c r="N24" s="71" t="str"/>
    </x:row>
    <x:row r="25">
      <x:c r="A25" s="71" t="n">
        <x:v>21</x:v>
      </x:c>
      <x:c r="B25" s="71" t="str">
        <x:v>Raum &amp; Catering</x:v>
      </x:c>
      <x:c r="C25" s="71" t="str">
        <x:v>Catering anfragen</x:v>
      </x:c>
      <x:c r="D25" s="71" t="str">
        <x:v>Optionen, Kosten, Zeiten, Unverträglichkeiten, vegetarisch/vegan</x:v>
      </x:c>
      <x:c r="E25" s="71" t="str">
        <x:v>Karin</x:v>
      </x:c>
      <x:c r="F25" s="71" t="str">
        <x:v>Johannes</x:v>
      </x:c>
      <x:c r="G25" s="71" t="str">
        <x:v>8</x:v>
      </x:c>
      <x:c r="H25" s="71" t="n">
        <x:v>42</x:v>
      </x:c>
      <x:c r="I25" s="72" t="n">
        <x:f>'Event-Setup'!$B$6-H25</x:f>
        <x:v>46238</x:v>
      </x:c>
      <x:c r="J25" s="71" t="str">
        <x:v>Nicht begonnen</x:v>
      </x:c>
      <x:c r="K25" s="71" t="str">
        <x:v>Hoch</x:v>
      </x:c>
      <x:c r="L25" s="71" t="str">
        <x:f>IF(J25="Erledigt","Grün",IF(J25="Entfällt","Grau",IF(OR(J25="Blockiert",I25&lt;TODAY()),"Rot",IF(I25&lt;=TODAY()+7,"Gelb","Blau"))))</x:f>
        <x:v>Blau</x:v>
      </x:c>
      <x:c r="M25" s="73" t="n">
        <x:f>IF(J25="Erledigt",1,IF(J25="In Arbeit",0.5,IF(J25="Wartet auf Input",0.25,IF(J25="Entfällt",1,0))))</x:f>
        <x:v>0</x:v>
      </x:c>
      <x:c r="N25" s="71" t="str"/>
    </x:row>
    <x:row r="26">
      <x:c r="A26" s="71" t="n">
        <x:v>22</x:v>
      </x:c>
      <x:c r="B26" s="71" t="str">
        <x:v>Raum &amp; Catering</x:v>
      </x:c>
      <x:c r="C26" s="71" t="str">
        <x:v>Catering final beauftragen</x:v>
      </x:c>
      <x:c r="D26" s="71" t="str">
        <x:v>Catering bestätigen und Ablauf mit Location abstimmen</x:v>
      </x:c>
      <x:c r="E26" s="71" t="str">
        <x:v>Karin</x:v>
      </x:c>
      <x:c r="F26" s="71" t="str">
        <x:v>Johannes</x:v>
      </x:c>
      <x:c r="G26" s="71" t="str">
        <x:v>21</x:v>
      </x:c>
      <x:c r="H26" s="71" t="n">
        <x:v>21</x:v>
      </x:c>
      <x:c r="I26" s="72" t="n">
        <x:f>'Event-Setup'!$B$6-H26</x:f>
        <x:v>46259</x:v>
      </x:c>
      <x:c r="J26" s="71" t="str">
        <x:v>Nicht begonnen</x:v>
      </x:c>
      <x:c r="K26" s="71" t="str">
        <x:v>Hoch</x:v>
      </x:c>
      <x:c r="L26" s="71" t="str">
        <x:f>IF(J26="Erledigt","Grün",IF(J26="Entfällt","Grau",IF(OR(J26="Blockiert",I26&lt;TODAY()),"Rot",IF(I26&lt;=TODAY()+7,"Gelb","Blau"))))</x:f>
        <x:v>Blau</x:v>
      </x:c>
      <x:c r="M26" s="73" t="n">
        <x:f>IF(J26="Erledigt",1,IF(J26="In Arbeit",0.5,IF(J26="Wartet auf Input",0.25,IF(J26="Entfällt",1,0))))</x:f>
        <x:v>0</x:v>
      </x:c>
      <x:c r="N26" s="71" t="str"/>
    </x:row>
    <x:row r="27">
      <x:c r="A27" s="71" t="n">
        <x:v>23</x:v>
      </x:c>
      <x:c r="B27" s="71" t="str">
        <x:v>Teilnehmermanagement</x:v>
      </x:c>
      <x:c r="C27" s="71" t="str">
        <x:v>Anmeldestand prüfen</x:v>
      </x:c>
      <x:c r="D27" s="71" t="str">
        <x:v>Teilnehmendenzahl, Zielgruppenfit, Warteliste, Nachsteuerung</x:v>
      </x:c>
      <x:c r="E27" s="71" t="str">
        <x:v>Karin</x:v>
      </x:c>
      <x:c r="F27" s="71" t="str">
        <x:v>Verena</x:v>
      </x:c>
      <x:c r="G27" s="71" t="str">
        <x:v>15</x:v>
      </x:c>
      <x:c r="H27" s="71" t="n">
        <x:v>14</x:v>
      </x:c>
      <x:c r="I27" s="72" t="n">
        <x:f>'Event-Setup'!$B$6-H27</x:f>
        <x:v>46266</x:v>
      </x:c>
      <x:c r="J27" s="71" t="str">
        <x:v>Nicht begonnen</x:v>
      </x:c>
      <x:c r="K27" s="71" t="str">
        <x:v>Mittel</x:v>
      </x:c>
      <x:c r="L27" s="71" t="str">
        <x:f>IF(J27="Erledigt","Grün",IF(J27="Entfällt","Grau",IF(OR(J27="Blockiert",I27&lt;TODAY()),"Rot",IF(I27&lt;=TODAY()+7,"Gelb","Blau"))))</x:f>
        <x:v>Blau</x:v>
      </x:c>
      <x:c r="M27" s="73" t="n">
        <x:f>IF(J27="Erledigt",1,IF(J27="In Arbeit",0.5,IF(J27="Wartet auf Input",0.25,IF(J27="Entfällt",1,0))))</x:f>
        <x:v>0</x:v>
      </x:c>
      <x:c r="N27" s="71" t="str"/>
    </x:row>
    <x:row r="28">
      <x:c r="A28" s="71" t="n">
        <x:v>24</x:v>
      </x:c>
      <x:c r="B28" s="71" t="str">
        <x:v>Präsentation &amp; Ablauf</x:v>
      </x:c>
      <x:c r="C28" s="71" t="str">
        <x:v>Masterpräsentation vorbereiten</x:v>
      </x:c>
      <x:c r="D28" s="71" t="str">
        <x:v>Agenda, Speakerfolien, Übergänge, Partnerlogos, Schlussfolie</x:v>
      </x:c>
      <x:c r="E28" s="71" t="str">
        <x:v>Johannes</x:v>
      </x:c>
      <x:c r="F28" s="71" t="str">
        <x:v>Verena</x:v>
      </x:c>
      <x:c r="G28" s="71" t="str">
        <x:v>11-12</x:v>
      </x:c>
      <x:c r="H28" s="71" t="n">
        <x:v>14</x:v>
      </x:c>
      <x:c r="I28" s="72" t="n">
        <x:f>'Event-Setup'!$B$6-H28</x:f>
        <x:v>46266</x:v>
      </x:c>
      <x:c r="J28" s="71" t="str">
        <x:v>Nicht begonnen</x:v>
      </x:c>
      <x:c r="K28" s="71" t="str">
        <x:v>Hoch</x:v>
      </x:c>
      <x:c r="L28" s="71" t="str">
        <x:f>IF(J28="Erledigt","Grün",IF(J28="Entfällt","Grau",IF(OR(J28="Blockiert",I28&lt;TODAY()),"Rot",IF(I28&lt;=TODAY()+7,"Gelb","Blau"))))</x:f>
        <x:v>Blau</x:v>
      </x:c>
      <x:c r="M28" s="73" t="n">
        <x:f>IF(J28="Erledigt",1,IF(J28="In Arbeit",0.5,IF(J28="Wartet auf Input",0.25,IF(J28="Entfällt",1,0))))</x:f>
        <x:v>0</x:v>
      </x:c>
      <x:c r="N28" s="71" t="str"/>
    </x:row>
    <x:row r="29">
      <x:c r="A29" s="71" t="n">
        <x:v>25</x:v>
      </x:c>
      <x:c r="B29" s="71" t="str">
        <x:v>Vor-Ort-Rollen</x:v>
      </x:c>
      <x:c r="C29" s="71" t="str">
        <x:v>Rollen vor Ort festlegen</x:v>
      </x:c>
      <x:c r="D29" s="71" t="str">
        <x:v>Moderation, Einlass, Springer, Technikansprechperson, Partneransprechperson</x:v>
      </x:c>
      <x:c r="E29" s="71" t="str">
        <x:v>Johannes</x:v>
      </x:c>
      <x:c r="F29" s="71" t="str">
        <x:v>Karin</x:v>
      </x:c>
      <x:c r="G29" s="71" t="str">
        <x:v>24</x:v>
      </x:c>
      <x:c r="H29" s="71" t="n">
        <x:v>10</x:v>
      </x:c>
      <x:c r="I29" s="72" t="n">
        <x:f>'Event-Setup'!$B$6-H29</x:f>
        <x:v>46270</x:v>
      </x:c>
      <x:c r="J29" s="71" t="str">
        <x:v>Nicht begonnen</x:v>
      </x:c>
      <x:c r="K29" s="71" t="str">
        <x:v>Hoch</x:v>
      </x:c>
      <x:c r="L29" s="71" t="str">
        <x:f>IF(J29="Erledigt","Grün",IF(J29="Entfällt","Grau",IF(OR(J29="Blockiert",I29&lt;TODAY()),"Rot",IF(I29&lt;=TODAY()+7,"Gelb","Blau"))))</x:f>
        <x:v>Blau</x:v>
      </x:c>
      <x:c r="M29" s="73" t="n">
        <x:f>IF(J29="Erledigt",1,IF(J29="In Arbeit",0.5,IF(J29="Wartet auf Input",0.25,IF(J29="Entfällt",1,0))))</x:f>
        <x:v>0</x:v>
      </x:c>
      <x:c r="N29" s="71" t="str"/>
    </x:row>
    <x:row r="30">
      <x:c r="A30" s="71" t="n">
        <x:v>26</x:v>
      </x:c>
      <x:c r="B30" s="71" t="str">
        <x:v>Raum &amp; Catering</x:v>
      </x:c>
      <x:c r="C30" s="71" t="str">
        <x:v>Finale Teilnehmendenzahl ans Catering</x:v>
      </x:c>
      <x:c r="D30" s="71" t="str">
        <x:v>Teilnehmendenzahl 4-5 Tage vorher final übermitteln</x:v>
      </x:c>
      <x:c r="E30" s="71" t="str">
        <x:v>Karin</x:v>
      </x:c>
      <x:c r="F30" s="71" t="str">
        <x:v>Johannes</x:v>
      </x:c>
      <x:c r="G30" s="71" t="str">
        <x:v>23</x:v>
      </x:c>
      <x:c r="H30" s="71" t="n">
        <x:v>5</x:v>
      </x:c>
      <x:c r="I30" s="72" t="n">
        <x:f>'Event-Setup'!$B$6-H30</x:f>
        <x:v>46275</x:v>
      </x:c>
      <x:c r="J30" s="71" t="str">
        <x:v>Nicht begonnen</x:v>
      </x:c>
      <x:c r="K30" s="71" t="str">
        <x:v>Hoch</x:v>
      </x:c>
      <x:c r="L30" s="71" t="str">
        <x:f>IF(J30="Erledigt","Grün",IF(J30="Entfällt","Grau",IF(OR(J30="Blockiert",I30&lt;TODAY()),"Rot",IF(I30&lt;=TODAY()+7,"Gelb","Blau"))))</x:f>
        <x:v>Blau</x:v>
      </x:c>
      <x:c r="M30" s="73" t="n">
        <x:f>IF(J30="Erledigt",1,IF(J30="In Arbeit",0.5,IF(J30="Wartet auf Input",0.25,IF(J30="Entfällt",1,0))))</x:f>
        <x:v>0</x:v>
      </x:c>
      <x:c r="N30" s="71" t="str"/>
    </x:row>
    <x:row r="31">
      <x:c r="A31" s="71" t="n">
        <x:v>27</x:v>
      </x:c>
      <x:c r="B31" s="71" t="str">
        <x:v>Material &amp; Technik</x:v>
      </x:c>
      <x:c r="C31" s="71" t="str">
        <x:v>Finaler Technikcheck</x:v>
      </x:c>
      <x:c r="D31" s="71" t="str">
        <x:v>Präsentation, Mikro, Beamer, Adapter, WLAN, Ton, Raumsetup testen</x:v>
      </x:c>
      <x:c r="E31" s="71" t="str">
        <x:v>Karin</x:v>
      </x:c>
      <x:c r="F31" s="71" t="str">
        <x:v>Johannes</x:v>
      </x:c>
      <x:c r="G31" s="71" t="str">
        <x:v>20,24</x:v>
      </x:c>
      <x:c r="H31" s="71" t="n">
        <x:v>3</x:v>
      </x:c>
      <x:c r="I31" s="72" t="n">
        <x:f>'Event-Setup'!$B$6-H31</x:f>
        <x:v>46277</x:v>
      </x:c>
      <x:c r="J31" s="71" t="str">
        <x:v>Nicht begonnen</x:v>
      </x:c>
      <x:c r="K31" s="71" t="str">
        <x:v>Hoch</x:v>
      </x:c>
      <x:c r="L31" s="71" t="str">
        <x:f>IF(J31="Erledigt","Grün",IF(J31="Entfällt","Grau",IF(OR(J31="Blockiert",I31&lt;TODAY()),"Rot",IF(I31&lt;=TODAY()+7,"Gelb","Blau"))))</x:f>
        <x:v>Blau</x:v>
      </x:c>
      <x:c r="M31" s="73" t="n">
        <x:f>IF(J31="Erledigt",1,IF(J31="In Arbeit",0.5,IF(J31="Wartet auf Input",0.25,IF(J31="Entfällt",1,0))))</x:f>
        <x:v>0</x:v>
      </x:c>
      <x:c r="N31" s="71" t="str"/>
    </x:row>
    <x:row r="32">
      <x:c r="A32" s="71" t="n">
        <x:v>28</x:v>
      </x:c>
      <x:c r="B32" s="71" t="str">
        <x:v>Kommunikation &amp; Öffentlichkeitsarbeit</x:v>
      </x:c>
      <x:c r="C32" s="71" t="str">
        <x:v>Finale Reminder / Teilnehmerinfo</x:v>
      </x:c>
      <x:c r="D32" s="71" t="str">
        <x:v>Anreise, Uhrzeit, Ort, Agenda, Kontaktdaten versenden</x:v>
      </x:c>
      <x:c r="E32" s="71" t="str">
        <x:v>Emily</x:v>
      </x:c>
      <x:c r="F32" s="71" t="str">
        <x:v>Karin</x:v>
      </x:c>
      <x:c r="G32" s="71" t="str">
        <x:v>23-25</x:v>
      </x:c>
      <x:c r="H32" s="71" t="n">
        <x:v>3</x:v>
      </x:c>
      <x:c r="I32" s="72" t="n">
        <x:f>'Event-Setup'!$B$6-H32</x:f>
        <x:v>46277</x:v>
      </x:c>
      <x:c r="J32" s="71" t="str">
        <x:v>Nicht begonnen</x:v>
      </x:c>
      <x:c r="K32" s="71" t="str">
        <x:v>Mittel</x:v>
      </x:c>
      <x:c r="L32" s="71" t="str">
        <x:f>IF(J32="Erledigt","Grün",IF(J32="Entfällt","Grau",IF(OR(J32="Blockiert",I32&lt;TODAY()),"Rot",IF(I32&lt;=TODAY()+7,"Gelb","Blau"))))</x:f>
        <x:v>Blau</x:v>
      </x:c>
      <x:c r="M32" s="73" t="n">
        <x:f>IF(J32="Erledigt",1,IF(J32="In Arbeit",0.5,IF(J32="Wartet auf Input",0.25,IF(J32="Entfällt",1,0))))</x:f>
        <x:v>0</x:v>
      </x:c>
      <x:c r="N32" s="71" t="str"/>
    </x:row>
    <x:row r="33">
      <x:c r="A33" s="71" t="n">
        <x:v>29</x:v>
      </x:c>
      <x:c r="B33" s="71" t="str">
        <x:v>Durchführung</x:v>
      </x:c>
      <x:c r="C33" s="71" t="str">
        <x:v>Event durchführen</x:v>
      </x:c>
      <x:c r="D33" s="71" t="str">
        <x:v>Moderation, Einlass, Betreuung, spontane Anliegen, Dokumentation</x:v>
      </x:c>
      <x:c r="E33" s="71" t="str">
        <x:v>Alle</x:v>
      </x:c>
      <x:c r="F33" s="71" t="str">
        <x:v>Johannes</x:v>
      </x:c>
      <x:c r="G33" s="71" t="str">
        <x:v>25-28</x:v>
      </x:c>
      <x:c r="H33" s="71" t="n">
        <x:v>0</x:v>
      </x:c>
      <x:c r="I33" s="72" t="n">
        <x:f>'Event-Setup'!$B$6-H33</x:f>
        <x:v>46280</x:v>
      </x:c>
      <x:c r="J33" s="71" t="str">
        <x:v>Nicht begonnen</x:v>
      </x:c>
      <x:c r="K33" s="71" t="str">
        <x:v>Hoch</x:v>
      </x:c>
      <x:c r="L33" s="71" t="str">
        <x:f>IF(J33="Erledigt","Grün",IF(J33="Entfällt","Grau",IF(OR(J33="Blockiert",I33&lt;TODAY()),"Rot",IF(I33&lt;=TODAY()+7,"Gelb","Blau"))))</x:f>
        <x:v>Blau</x:v>
      </x:c>
      <x:c r="M33" s="73" t="n">
        <x:f>IF(J33="Erledigt",1,IF(J33="In Arbeit",0.5,IF(J33="Wartet auf Input",0.25,IF(J33="Entfällt",1,0))))</x:f>
        <x:v>0</x:v>
      </x:c>
      <x:c r="N33" s="71" t="str"/>
    </x:row>
    <x:row r="34">
      <x:c r="A34" s="71" t="n">
        <x:v>30</x:v>
      </x:c>
      <x:c r="B34" s="71" t="str">
        <x:v>Nachbereitung</x:v>
      </x:c>
      <x:c r="C34" s="71" t="str">
        <x:v>Feedback einsammeln</x:v>
      </x:c>
      <x:c r="D34" s="71" t="str">
        <x:v>Feedbackformular, persönliche Rückmeldungen, Partnerfeedback</x:v>
      </x:c>
      <x:c r="E34" s="71" t="str">
        <x:v>Verena</x:v>
      </x:c>
      <x:c r="F34" s="71" t="str">
        <x:v>Johannes</x:v>
      </x:c>
      <x:c r="G34" s="71" t="str">
        <x:v>29</x:v>
      </x:c>
      <x:c r="H34" s="71" t="n">
        <x:v>-1</x:v>
      </x:c>
      <x:c r="I34" s="72" t="n">
        <x:f>'Event-Setup'!$B$6-H34</x:f>
        <x:v>46281</x:v>
      </x:c>
      <x:c r="J34" s="71" t="str">
        <x:v>Nicht begonnen</x:v>
      </x:c>
      <x:c r="K34" s="71" t="str">
        <x:v>Mittel</x:v>
      </x:c>
      <x:c r="L34" s="71" t="str">
        <x:f>IF(J34="Erledigt","Grün",IF(J34="Entfällt","Grau",IF(OR(J34="Blockiert",I34&lt;TODAY()),"Rot",IF(I34&lt;=TODAY()+7,"Gelb","Blau"))))</x:f>
        <x:v>Blau</x:v>
      </x:c>
      <x:c r="M34" s="73" t="n">
        <x:f>IF(J34="Erledigt",1,IF(J34="In Arbeit",0.5,IF(J34="Wartet auf Input",0.25,IF(J34="Entfällt",1,0))))</x:f>
        <x:v>0</x:v>
      </x:c>
      <x:c r="N34" s="71" t="str"/>
    </x:row>
    <x:row r="35">
      <x:c r="A35" s="71" t="n">
        <x:v>31</x:v>
      </x:c>
      <x:c r="B35" s="71" t="str">
        <x:v>Nachbereitung</x:v>
      </x:c>
      <x:c r="C35" s="71" t="str">
        <x:v>Kommunikative Nachbereitung</x:v>
      </x:c>
      <x:c r="D35" s="71" t="str">
        <x:v>Social Post, Dank an Speaker/Partner, ggf. Materialien teilen</x:v>
      </x:c>
      <x:c r="E35" s="71" t="str">
        <x:v>Emily</x:v>
      </x:c>
      <x:c r="F35" s="71" t="str">
        <x:v>Johannes</x:v>
      </x:c>
      <x:c r="G35" s="71" t="str">
        <x:v>29</x:v>
      </x:c>
      <x:c r="H35" s="71" t="n">
        <x:v>-2</x:v>
      </x:c>
      <x:c r="I35" s="72" t="n">
        <x:f>'Event-Setup'!$B$6-H35</x:f>
        <x:v>46282</x:v>
      </x:c>
      <x:c r="J35" s="71" t="str">
        <x:v>Nicht begonnen</x:v>
      </x:c>
      <x:c r="K35" s="71" t="str">
        <x:v>Mittel</x:v>
      </x:c>
      <x:c r="L35" s="71" t="str">
        <x:f>IF(J35="Erledigt","Grün",IF(J35="Entfällt","Grau",IF(OR(J35="Blockiert",I35&lt;TODAY()),"Rot",IF(I35&lt;=TODAY()+7,"Gelb","Blau"))))</x:f>
        <x:v>Blau</x:v>
      </x:c>
      <x:c r="M35" s="73" t="n">
        <x:f>IF(J35="Erledigt",1,IF(J35="In Arbeit",0.5,IF(J35="Wartet auf Input",0.25,IF(J35="Entfällt",1,0))))</x:f>
        <x:v>0</x:v>
      </x:c>
      <x:c r="N35" s="71" t="str"/>
    </x:row>
    <x:row r="36">
      <x:c r="A36" s="71" t="n">
        <x:v>32</x:v>
      </x:c>
      <x:c r="B36" s="71" t="str">
        <x:v>Nachbereitung</x:v>
      </x:c>
      <x:c r="C36" s="71" t="str">
        <x:v>Debrief / Learnings dokumentieren</x:v>
      </x:c>
      <x:c r="D36" s="71" t="str">
        <x:v>Was lief gut? Was verbessern? Learnings in Wissensspeicher übertragen</x:v>
      </x:c>
      <x:c r="E36" s="71" t="str">
        <x:v>Johannes</x:v>
      </x:c>
      <x:c r="F36" s="71" t="str">
        <x:v>Verena</x:v>
      </x:c>
      <x:c r="G36" s="71" t="str">
        <x:v>30-31</x:v>
      </x:c>
      <x:c r="H36" s="71" t="n">
        <x:v>-7</x:v>
      </x:c>
      <x:c r="I36" s="72" t="n">
        <x:f>'Event-Setup'!$B$6-H36</x:f>
        <x:v>46287</x:v>
      </x:c>
      <x:c r="J36" s="71" t="str">
        <x:v>Nicht begonnen</x:v>
      </x:c>
      <x:c r="K36" s="71" t="str">
        <x:v>Hoch</x:v>
      </x:c>
      <x:c r="L36" s="71" t="str">
        <x:f>IF(J36="Erledigt","Grün",IF(J36="Entfällt","Grau",IF(OR(J36="Blockiert",I36&lt;TODAY()),"Rot",IF(I36&lt;=TODAY()+7,"Gelb","Blau"))))</x:f>
        <x:v>Blau</x:v>
      </x:c>
      <x:c r="M36" s="73" t="n">
        <x:f>IF(J36="Erledigt",1,IF(J36="In Arbeit",0.5,IF(J36="Wartet auf Input",0.25,IF(J36="Entfällt",1,0))))</x:f>
        <x:v>0</x:v>
      </x:c>
      <x:c r="N36" s="71" t="str"/>
    </x:row>
  </x:sheetData>
  <x:mergeCells>
    <x:mergeCell ref="A1:N1"/>
    <x:mergeCell ref="A2:N2"/>
  </x:mergeCells>
  <x:conditionalFormatting sqref="A5:N36">
    <x:cfRule type="expression" dxfId="0" priority="1">
      <x:formula>$L5="Grün"</x:formula>
    </x:cfRule>
    <x:cfRule type="expression" dxfId="1" priority="2">
      <x:formula>$L5="Rot"</x:formula>
    </x:cfRule>
    <x:cfRule type="expression" dxfId="2" priority="3">
      <x:formula>$L5="Gelb"</x:formula>
    </x:cfRule>
    <x:cfRule type="expression" dxfId="3" priority="4">
      <x:formula>$L5="Blau"</x:formula>
    </x:cfRule>
    <x:cfRule type="expression" dxfId="4" priority="5">
      <x:formula>$L5="Grau"</x:formula>
    </x:cfRule>
  </x:conditionalFormatting>
  <x:conditionalFormatting sqref="M5:M36">
    <x:cfRule type="dataBar" priority="6">
      <x:dataBar>
        <x:cfvo type="min"/>
        <x:cfvo type="max"/>
        <x:color rgb="005CA9"/>
      </x:dataBar>
      <x:extLst>
        <x:ext xmlns:x14="http://schemas.microsoft.com/office/spreadsheetml/2009/9/main" uri="{B025F937-C7B1-47D3-B67F-A62EFF666E3E}">
          <x14:id>{9C6FD311-14E4-26FB-A7AC-6E514B47B0EF}</x14:id>
        </x:ext>
      </x:extLst>
    </x:cfRule>
  </x:conditionalFormatting>
  <x:dataValidations count="4">
    <x:dataValidation type="list" sqref="B5:B36">
      <x:formula1>Dropdowns!$E$2:$E$13</x:formula1>
    </x:dataValidation>
    <x:dataValidation type="list" sqref="E5:F36">
      <x:formula1>Dropdowns!$C$2:$C$9</x:formula1>
    </x:dataValidation>
    <x:dataValidation type="list" sqref="J5:J36">
      <x:formula1>Dropdowns!$A$2:$A$7</x:formula1>
    </x:dataValidation>
    <x:dataValidation type="list" sqref="K5:K36">
      <x:formula1>Dropdowns!$B$2:$B$4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309c8b7a594d8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9C6FD311-14E4-26FB-A7AC-6E514B47B0EF}">
            <x14:dataBar gradient="1">
              <x14:cfvo type="min"/>
              <x14:cfvo type="max"/>
              <x14:fillColor rgb="005CA9"/>
            </x14:dataBar>
          </x14:cfRule>
          <xm:sqref>M5:M36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22" hidden="0" customWidth="1"/>
    <x:col min="4" max="4" width="22" hidden="0" customWidth="1"/>
    <x:col min="5" max="5" width="14" hidden="0" customWidth="1"/>
    <x:col min="6" max="6" width="34" hidden="0" customWidth="1"/>
  </x:cols>
  <x:sheetData>
    <x:row r="1">
      <x:c r="A1" s="33" t="str">
        <x:v>Event-Checklisten für Qualitätssicherung</x:v>
      </x:c>
    </x:row>
    <x:row r="3">
      <x:c r="A3" s="106" t="str">
        <x:v>Bereich</x:v>
      </x:c>
      <x:c r="B3" s="107" t="str">
        <x:v>Checkfrage</x:v>
      </x:c>
      <x:c r="C3" s="107" t="str">
        <x:v>Zeitpunkt</x:v>
      </x:c>
      <x:c r="D3" s="107" t="str">
        <x:v>Verantwortlich</x:v>
      </x:c>
      <x:c r="E3" s="107" t="str">
        <x:v>Erledigt?</x:v>
      </x:c>
      <x:c r="F3" s="108" t="str">
        <x:v>Notiz</x:v>
      </x:c>
    </x:row>
    <x:row r="4">
      <x:c r="A4" s="109" t="str">
        <x:v>Konzeption</x:v>
      </x:c>
      <x:c r="B4" s="110" t="str">
        <x:v>Sind Ziel, Zielgruppe und Nutzenversprechen schriftlich klar?</x:v>
      </x:c>
      <x:c r="C4" s="110" t="str">
        <x:v>Start</x:v>
      </x:c>
      <x:c r="D4" s="110" t="str">
        <x:v>Johannes/Verena</x:v>
      </x:c>
      <x:c r="E4" s="110" t="str">
        <x:v>Noch offen</x:v>
      </x:c>
      <x:c r="F4" s="111" t="str"/>
    </x:row>
    <x:row r="5">
      <x:c r="A5" s="109" t="str">
        <x:v>Konzeption</x:v>
      </x:c>
      <x:c r="B5" s="110" t="str">
        <x:v>Wurde das Vier-Augen-Prinzip durchgeführt?</x:v>
      </x:c>
      <x:c r="C5" s="110" t="str">
        <x:v>nach Grobkonzept</x:v>
      </x:c>
      <x:c r="D5" s="110" t="str">
        <x:v>Johannes/Verena</x:v>
      </x:c>
      <x:c r="E5" s="110" t="str">
        <x:v>Noch offen</x:v>
      </x:c>
      <x:c r="F5" s="111" t="str"/>
    </x:row>
    <x:row r="6">
      <x:c r="A6" s="109" t="str">
        <x:v>Partner</x:v>
      </x:c>
      <x:c r="B6" s="110" t="str">
        <x:v>Sind Rollen, Beiträge und Freigaben des Kooperationspartners geklärt?</x:v>
      </x:c>
      <x:c r="C6" s="110" t="str">
        <x:v>früh</x:v>
      </x:c>
      <x:c r="D6" s="110" t="str">
        <x:v>Johannes</x:v>
      </x:c>
      <x:c r="E6" s="110" t="str">
        <x:v>Noch offen</x:v>
      </x:c>
      <x:c r="F6" s="111" t="str"/>
    </x:row>
    <x:row r="7">
      <x:c r="A7" s="109" t="str">
        <x:v>Raum</x:v>
      </x:c>
      <x:c r="B7" s="110" t="str">
        <x:v>Sind Raum, Setup, Barrierefreiheit und Ansprechpartner fix?</x:v>
      </x:c>
      <x:c r="C7" s="110" t="str">
        <x:v>8-12 Wochen vorher</x:v>
      </x:c>
      <x:c r="D7" s="110" t="str">
        <x:v>Karin</x:v>
      </x:c>
      <x:c r="E7" s="110" t="str">
        <x:v>Noch offen</x:v>
      </x:c>
      <x:c r="F7" s="111" t="str"/>
    </x:row>
    <x:row r="8">
      <x:c r="A8" s="109" t="str">
        <x:v>Catering</x:v>
      </x:c>
      <x:c r="B8" s="110" t="str">
        <x:v>Sind Cateringoption, finale Personenzahl und Sonderbedarfe geklärt?</x:v>
      </x:c>
      <x:c r="C8" s="110" t="str">
        <x:v>4-5 Tage vorher final</x:v>
      </x:c>
      <x:c r="D8" s="110" t="str">
        <x:v>Karin</x:v>
      </x:c>
      <x:c r="E8" s="110" t="str">
        <x:v>Noch offen</x:v>
      </x:c>
      <x:c r="F8" s="111" t="str"/>
    </x:row>
    <x:row r="9">
      <x:c r="A9" s="109" t="str">
        <x:v>Referenten</x:v>
      </x:c>
      <x:c r="B9" s="110" t="str">
        <x:v>Sind Zusagen, Bios, Fotos, Titel und Technikbedarf vollständig?</x:v>
      </x:c>
      <x:c r="C9" s="110" t="str">
        <x:v>6-8 Wochen vorher</x:v>
      </x:c>
      <x:c r="D9" s="110" t="str">
        <x:v>Johannes</x:v>
      </x:c>
      <x:c r="E9" s="110" t="str">
        <x:v>Noch offen</x:v>
      </x:c>
      <x:c r="F9" s="111" t="str"/>
    </x:row>
    <x:row r="10">
      <x:c r="A10" s="109" t="str">
        <x:v>Kommunikation</x:v>
      </x:c>
      <x:c r="B10" s="110" t="str">
        <x:v>Hat Emily alle Informationen für Einladung, Newsletter und Social Media?</x:v>
      </x:c>
      <x:c r="C10" s="110" t="str">
        <x:v>vor Veröffentlichung</x:v>
      </x:c>
      <x:c r="D10" s="110" t="str">
        <x:v>Emily</x:v>
      </x:c>
      <x:c r="E10" s="110" t="str">
        <x:v>Noch offen</x:v>
      </x:c>
      <x:c r="F10" s="111" t="str"/>
    </x:row>
    <x:row r="11">
      <x:c r="A11" s="109" t="str">
        <x:v>Material</x:v>
      </x:c>
      <x:c r="B11" s="110" t="str">
        <x:v>Sind Beachflags, Roll-up, Flyer, Namensschilder und Giveaways geplant?</x:v>
      </x:c>
      <x:c r="C11" s="110" t="str">
        <x:v>3-5 Wochen vorher</x:v>
      </x:c>
      <x:c r="D11" s="110" t="str">
        <x:v>Karin/Emily</x:v>
      </x:c>
      <x:c r="E11" s="110" t="str">
        <x:v>Noch offen</x:v>
      </x:c>
      <x:c r="F11" s="111" t="str"/>
    </x:row>
    <x:row r="12">
      <x:c r="A12" s="109" t="str">
        <x:v>Technik</x:v>
      </x:c>
      <x:c r="B12" s="110" t="str">
        <x:v>Wurde ein finaler Technikcheck inklusive Präsentation gemacht?</x:v>
      </x:c>
      <x:c r="C12" s="110" t="str">
        <x:v>1-3 Tage vorher</x:v>
      </x:c>
      <x:c r="D12" s="110" t="str">
        <x:v>Karin</x:v>
      </x:c>
      <x:c r="E12" s="110" t="str">
        <x:v>Noch offen</x:v>
      </x:c>
      <x:c r="F12" s="111" t="str"/>
    </x:row>
    <x:row r="13">
      <x:c r="A13" s="109" t="str">
        <x:v>Präsentation</x:v>
      </x:c>
      <x:c r="B13" s="110" t="str">
        <x:v>Sind Agenda, Speakerfolien, Partnerlogos und Übergänge eingebaut?</x:v>
      </x:c>
      <x:c r="C13" s="110" t="str">
        <x:v>1-2 Wochen vorher</x:v>
      </x:c>
      <x:c r="D13" s="110" t="str">
        <x:v>Johannes</x:v>
      </x:c>
      <x:c r="E13" s="110" t="str">
        <x:v>Noch offen</x:v>
      </x:c>
      <x:c r="F13" s="111" t="str"/>
    </x:row>
    <x:row r="14">
      <x:c r="A14" s="109" t="str">
        <x:v>Vor Ort</x:v>
      </x:c>
      <x:c r="B14" s="110" t="str">
        <x:v>Sind Moderation, Einlass und Springer klar verteilt?</x:v>
      </x:c>
      <x:c r="C14" s="110" t="str">
        <x:v>1-2 Wochen vorher</x:v>
      </x:c>
      <x:c r="D14" s="110" t="str">
        <x:v>Johannes/Karin</x:v>
      </x:c>
      <x:c r="E14" s="110" t="str">
        <x:v>Noch offen</x:v>
      </x:c>
      <x:c r="F14" s="111" t="str"/>
    </x:row>
    <x:row r="15">
      <x:c r="A15" s="112" t="str">
        <x:v>Nachbereitung</x:v>
      </x:c>
      <x:c r="B15" s="113" t="str">
        <x:v>Werden Feedback, Danke-Kommunikation und Learnings dokumentiert?</x:v>
      </x:c>
      <x:c r="C15" s="113" t="str">
        <x:v>nach Event</x:v>
      </x:c>
      <x:c r="D15" s="113" t="str">
        <x:v>Verena/Emily/Johannes</x:v>
      </x:c>
      <x:c r="E15" s="113" t="str">
        <x:v>Noch offen</x:v>
      </x:c>
      <x:c r="F15" s="114" t="str"/>
    </x:row>
  </x:sheetData>
  <x:mergeCells>
    <x:mergeCell ref="A1:F1"/>
  </x:mergeCells>
  <x:dataValidations count="1">
    <x:dataValidation type="list" sqref="E4:E15">
      <x:formula1>Dropdowns!$F$2:$F$4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03b56c904f44b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28" hidden="0" customWidth="1"/>
    <x:col min="4" max="4" width="42" hidden="0" customWidth="1"/>
    <x:col min="5" max="5" width="24" hidden="0" customWidth="1"/>
    <x:col min="6" max="6" width="42" hidden="0" customWidth="1"/>
    <x:col min="7" max="7" width="24" hidden="0" customWidth="1"/>
  </x:cols>
  <x:sheetData>
    <x:row r="1">
      <x:c r="A1" s="33" t="str">
        <x:v>Rollenmodell &amp; Übergaben</x:v>
      </x:c>
    </x:row>
    <x:row r="3">
      <x:c r="A3" s="106" t="str">
        <x:v>Rolle</x:v>
      </x:c>
      <x:c r="B3" s="107" t="str">
        <x:v>Person(en)</x:v>
      </x:c>
      <x:c r="C3" s="107" t="str">
        <x:v>Stärke / Fokus</x:v>
      </x:c>
      <x:c r="D3" s="107" t="str">
        <x:v>Typische Verantwortung</x:v>
      </x:c>
      <x:c r="E3" s="107" t="str">
        <x:v>Übergabe an</x:v>
      </x:c>
      <x:c r="F3" s="107" t="str">
        <x:v>Benötigte Infos</x:v>
      </x:c>
      <x:c r="G3" s="108" t="str">
        <x:v>Zeitpunkt</x:v>
      </x:c>
    </x:row>
    <x:row r="4">
      <x:c r="A4" s="109" t="str">
        <x:v>Teamleitung / Konzeptionslead</x:v>
      </x:c>
      <x:c r="B4" s="110" t="str">
        <x:v>Johannes</x:v>
      </x:c>
      <x:c r="C4" s="110" t="str">
        <x:v>Gesamtverantwortung, Konzeption, finales Go</x:v>
      </x:c>
      <x:c r="D4" s="110" t="str">
        <x:v>Eventidee, Ziel, Grobkonzept, Moderation, Eskalation</x:v>
      </x:c>
      <x:c r="E4" s="110" t="str">
        <x:v>Verena, Karin, Emily</x:v>
      </x:c>
      <x:c r="F4" s="110" t="str">
        <x:v>Ziel, Zielgruppe, Nutzen, Agenda, Prioritäten</x:v>
      </x:c>
      <x:c r="G4" s="111" t="str">
        <x:v>Start und Meilensteine</x:v>
      </x:c>
    </x:row>
    <x:row r="5">
      <x:c r="A5" s="109" t="str">
        <x:v>Konzeption / prüfender Blick</x:v>
      </x:c>
      <x:c r="B5" s="110" t="str">
        <x:v>Verena</x:v>
      </x:c>
      <x:c r="C5" s="110" t="str">
        <x:v>Großes Bild, Review, Ergänzungen</x:v>
      </x:c>
      <x:c r="D5" s="110" t="str">
        <x:v>Vier-Augen-Check, Zielgruppenblick, Feedback-Loop</x:v>
      </x:c>
      <x:c r="E5" s="110" t="str">
        <x:v>Johannes, Karin, Emily</x:v>
      </x:c>
      <x:c r="F5" s="110" t="str">
        <x:v>Konzept, Annahmen, offene Fragen</x:v>
      </x:c>
      <x:c r="G5" s="111" t="str">
        <x:v>Nach Grobkonzept</x:v>
      </x:c>
    </x:row>
    <x:row r="6">
      <x:c r="A6" s="109" t="str">
        <x:v>Teammanagement / Detailplanung</x:v>
      </x:c>
      <x:c r="B6" s="110" t="str">
        <x:v>Karin</x:v>
      </x:c>
      <x:c r="C6" s="110" t="str">
        <x:v>Details, Raum, Catering, Ablaufdetails</x:v>
      </x:c>
      <x:c r="D6" s="110" t="str">
        <x:v>Raum, Catering, Teilnehmendenzahlen, Material, Technik, Vor-Ort-Setup</x:v>
      </x:c>
      <x:c r="E6" s="110" t="str">
        <x:v>Johannes, Emily</x:v>
      </x:c>
      <x:c r="F6" s="110" t="str">
        <x:v>Datum, Ort, erwartete TN, Bedürfnisse, Ablauf</x:v>
      </x:c>
      <x:c r="G6" s="111" t="str">
        <x:v>Früh und vor Event</x:v>
      </x:c>
    </x:row>
    <x:row r="7">
      <x:c r="A7" s="109" t="str">
        <x:v>Kommunikation / ÖA</x:v>
      </x:c>
      <x:c r="B7" s="110" t="str">
        <x:v>Emily</x:v>
      </x:c>
      <x:c r="C7" s="110" t="str">
        <x:v>Newsletter, Social Media, Einladung, Texte</x:v>
      </x:c>
      <x:c r="D7" s="110" t="str">
        <x:v>Teaser, Anmeldeseite, Einladungen, Reminder, Nachbereitung</x:v>
      </x:c>
      <x:c r="E7" s="110" t="str">
        <x:v>Johannes, Verena, Karin</x:v>
      </x:c>
      <x:c r="F7" s="110" t="str">
        <x:v>Zielgruppe, Texte, Speaker, Agenda, Partner, Link</x:v>
      </x:c>
      <x:c r="G7" s="111" t="str">
        <x:v>Nach Konzeptfinalisierung</x:v>
      </x:c>
    </x:row>
    <x:row r="8">
      <x:c r="A8" s="109" t="str">
        <x:v>Unterstützende Teammitglieder</x:v>
      </x:c>
      <x:c r="B8" s="110" t="str">
        <x:v>Teammitglied 1/2</x:v>
      </x:c>
      <x:c r="C8" s="110" t="str">
        <x:v>Flexible Unterstützung</x:v>
      </x:c>
      <x:c r="D8" s="110" t="str">
        <x:v>Einlass, Springer, Logistik, Dokumentation</x:v>
      </x:c>
      <x:c r="E8" s="110" t="str">
        <x:v>Karin/Johannes</x:v>
      </x:c>
      <x:c r="F8" s="110" t="str">
        <x:v>Aufgabenbriefing, Zeiten, Ansprechpartner</x:v>
      </x:c>
      <x:c r="G8" s="111" t="str">
        <x:v>Kurz vor Event</x:v>
      </x:c>
    </x:row>
    <x:row r="9">
      <x:c r="A9" s="112" t="str">
        <x:v>Kooperationspartner</x:v>
      </x:c>
      <x:c r="B9" s="113" t="str">
        <x:v>Partner</x:v>
      </x:c>
      <x:c r="C9" s="113" t="str">
        <x:v>Inhaltlicher Beitrag und Reichweite</x:v>
      </x:c>
      <x:c r="D9" s="113" t="str">
        <x:v>Input, Co-Kommunikation, ggf. Speaker, Freigaben</x:v>
      </x:c>
      <x:c r="E9" s="113" t="str">
        <x:v>Johannes/Emily</x:v>
      </x:c>
      <x:c r="F9" s="113" t="str">
        <x:v>Rollen, Deadlines, Textfreigaben</x:v>
      </x:c>
      <x:c r="G9" s="114" t="str">
        <x:v>Frühzeitig</x:v>
      </x:c>
    </x:row>
  </x:sheetData>
  <x:mergeCells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Status</x:v>
      </x:c>
      <x:c r="B1" s="4" t="str">
        <x:v>Priorität</x:v>
      </x:c>
      <x:c r="C1" s="4" t="str">
        <x:v>Verantwortlich</x:v>
      </x:c>
      <x:c r="D1" s="4" t="str">
        <x:v>Event-Typ</x:v>
      </x:c>
      <x:c r="E1" s="4" t="str">
        <x:v>Phase</x:v>
      </x:c>
      <x:c r="F1" s="4" t="str">
        <x:v>Ja/Nein</x:v>
      </x:c>
      <x:c r="G1" s="4"/>
      <x:c r="H1" s="4" t="str">
        <x:v>Ampel</x:v>
      </x:c>
      <x:c r="I1" s="4" t="str">
        <x:v>Bedeutung</x:v>
      </x:c>
    </x:row>
    <x:row r="2">
      <x:c r="A2" t="str">
        <x:v>Nicht begonnen</x:v>
      </x:c>
      <x:c r="B2" t="str">
        <x:v>Hoch</x:v>
      </x:c>
      <x:c r="C2" t="str">
        <x:v>Johannes</x:v>
      </x:c>
      <x:c r="D2" t="str">
        <x:v>Große Veranstaltung</x:v>
      </x:c>
      <x:c r="E2" t="str">
        <x:v>Konzeption</x:v>
      </x:c>
      <x:c r="F2" t="str">
        <x:v>Ja</x:v>
      </x:c>
      <x:c r="H2" t="str">
        <x:v>Rot</x:v>
      </x:c>
      <x:c r="I2" t="str">
        <x:v>Überfällig, blockiert oder sehr dringend</x:v>
      </x:c>
    </x:row>
    <x:row r="3">
      <x:c r="A3" t="str">
        <x:v>In Arbeit</x:v>
      </x:c>
      <x:c r="B3" t="str">
        <x:v>Mittel</x:v>
      </x:c>
      <x:c r="C3" t="str">
        <x:v>Verena</x:v>
      </x:c>
      <x:c r="D3" t="str">
        <x:v>Kleine Veranstaltung / Fachgruppe</x:v>
      </x:c>
      <x:c r="E3" t="str">
        <x:v>Vier-Augen-Check</x:v>
      </x:c>
      <x:c r="F3" t="str">
        <x:v>Nein</x:v>
      </x:c>
      <x:c r="H3" t="str">
        <x:v>Gelb</x:v>
      </x:c>
      <x:c r="I3" t="str">
        <x:v>Fällig innerhalb der nächsten 7 Tage / Aufmerksamkeit nötig</x:v>
      </x:c>
    </x:row>
    <x:row r="4">
      <x:c r="A4" t="str">
        <x:v>Blockiert</x:v>
      </x:c>
      <x:c r="B4" t="str">
        <x:v>Niedrig</x:v>
      </x:c>
      <x:c r="C4" t="str">
        <x:v>Karin</x:v>
      </x:c>
      <x:c r="D4" t="str">
        <x:v>Kooperationsveranstaltung</x:v>
      </x:c>
      <x:c r="E4" t="str">
        <x:v>Partner &amp; Stakeholder</x:v>
      </x:c>
      <x:c r="F4" t="str">
        <x:v>Noch offen</x:v>
      </x:c>
      <x:c r="H4" t="str">
        <x:v>Blau</x:v>
      </x:c>
      <x:c r="I4" t="str">
        <x:v>Geplant, noch nicht dringend</x:v>
      </x:c>
    </x:row>
    <x:row r="5">
      <x:c r="A5" t="str">
        <x:v>Wartet auf Input</x:v>
      </x:c>
      <x:c r="C5" t="str">
        <x:v>Emily</x:v>
      </x:c>
      <x:c r="E5" t="str">
        <x:v>Raum &amp; Catering</x:v>
      </x:c>
      <x:c r="H5" t="str">
        <x:v>Grün</x:v>
      </x:c>
      <x:c r="I5" t="str">
        <x:v>Erledigt</x:v>
      </x:c>
    </x:row>
    <x:row r="6">
      <x:c r="A6" t="str">
        <x:v>Erledigt</x:v>
      </x:c>
      <x:c r="C6" t="str">
        <x:v>Teammitglied 1</x:v>
      </x:c>
      <x:c r="E6" t="str">
        <x:v>Referenten</x:v>
      </x:c>
      <x:c r="H6" t="str">
        <x:v>Grau</x:v>
      </x:c>
      <x:c r="I6" t="str">
        <x:v>Entfällt</x:v>
      </x:c>
    </x:row>
    <x:row r="7">
      <x:c r="A7" t="str">
        <x:v>Entfällt</x:v>
      </x:c>
      <x:c r="C7" t="str">
        <x:v>Teammitglied 2</x:v>
      </x:c>
      <x:c r="E7" t="str">
        <x:v>Kommunikation &amp; Öffentlichkeitsarbeit</x:v>
      </x:c>
    </x:row>
    <x:row r="8">
      <x:c r="C8" t="str">
        <x:v>Kooperationspartner</x:v>
      </x:c>
      <x:c r="E8" t="str">
        <x:v>Material &amp; Technik</x:v>
      </x:c>
    </x:row>
    <x:row r="9">
      <x:c r="C9" t="str">
        <x:v>Noch offen</x:v>
      </x:c>
      <x:c r="E9" t="str">
        <x:v>Teilnehmermanagement</x:v>
      </x:c>
    </x:row>
    <x:row r="10">
      <x:c r="E10" t="str">
        <x:v>Präsentation &amp; Ablauf</x:v>
      </x:c>
    </x:row>
    <x:row r="11">
      <x:c r="E11" t="str">
        <x:v>Vor-Ort-Rollen</x:v>
      </x:c>
    </x:row>
    <x:row r="12">
      <x:c r="E12" t="str">
        <x:v>Durchführung</x:v>
      </x:c>
    </x:row>
    <x:row r="13">
      <x:c r="E13" t="str">
        <x:v>Nachbereitung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80" hidden="0" customWidth="1"/>
  </x:cols>
  <x:sheetData>
    <x:row r="1">
      <x:c r="A1" s="33" t="str">
        <x:v>So nutzt ihr das DIWISH Event-Planungstool</x:v>
      </x:c>
    </x:row>
    <x:row r="3">
      <x:c r="A3" s="106" t="str">
        <x:v>Schritt</x:v>
      </x:c>
      <x:c r="B3" s="107" t="str">
        <x:v>Bereich</x:v>
      </x:c>
      <x:c r="C3" s="108" t="str">
        <x:v>Beschreibung</x:v>
      </x:c>
    </x:row>
    <x:row r="4">
      <x:c r="A4" s="109" t="str">
        <x:v>1</x:v>
      </x:c>
      <x:c r="B4" s="110" t="str">
        <x:v>Event anlegen</x:v>
      </x:c>
      <x:c r="C4" s="111" t="str">
        <x:v>Im Blatt „Event-Setup“ Eventname, Typ, Datum, Ziel, Zielgruppe, Verantwortliche und Besonderheiten pflegen.</x:v>
      </x:c>
    </x:row>
    <x:row r="5">
      <x:c r="A5" s="109" t="str">
        <x:v>2</x:v>
      </x:c>
      <x:c r="B5" s="110" t="str">
        <x:v>Aufgabenplan prüfen</x:v>
      </x:c>
      <x:c r="C5" s="111" t="str">
        <x:v>Im Blatt „Aufgabenplan“ werden Fälligkeiten automatisch vom Veranstaltungsdatum zurückgerechnet.</x:v>
      </x:c>
    </x:row>
    <x:row r="6">
      <x:c r="A6" s="109" t="str">
        <x:v>3</x:v>
      </x:c>
      <x:c r="B6" s="110" t="str">
        <x:v>Status pflegen</x:v>
      </x:c>
      <x:c r="C6" s="111" t="str">
        <x:v>Status je Aufgabe aktualisieren. Die Ampel markiert automatisch Rot, Gelb, Blau, Grün oder Grau.</x:v>
      </x:c>
    </x:row>
    <x:row r="7">
      <x:c r="A7" s="109" t="str">
        <x:v>4</x:v>
      </x:c>
      <x:c r="B7" s="110" t="str">
        <x:v>Team-Updates steuern</x:v>
      </x:c>
      <x:c r="C7" s="111" t="str">
        <x:v>Das Dashboard zeigt Fortschritt, offene Aufgaben, Rot/Gelb-Fälle und Fokusfragen für das Team-Update.</x:v>
      </x:c>
    </x:row>
    <x:row r="8">
      <x:c r="A8" s="109" t="str">
        <x:v>5</x:v>
      </x:c>
      <x:c r="B8" s="110" t="str">
        <x:v>Vier-Augen-Prinzip nutzen</x:v>
      </x:c>
      <x:c r="C8" s="111" t="str">
        <x:v>Bei Konzeptionsaufgaben prüft immer Johannes oder Verena als zweite konzeptionelle Perspektive.</x:v>
      </x:c>
    </x:row>
    <x:row r="9">
      <x:c r="A9" s="109" t="str">
        <x:v>6</x:v>
      </x:c>
      <x:c r="B9" s="110" t="str">
        <x:v>Kommunikation erst nach Grundlagen starten</x:v>
      </x:c>
      <x:c r="C9" s="111" t="str">
        <x:v>Emily benötigt Zielgruppe, Konzept, Teasertext, Speaker- und Partnerinfos sowie den Registrierungslink.</x:v>
      </x:c>
    </x:row>
    <x:row r="10">
      <x:c r="A10" s="112" t="str">
        <x:v>7</x:v>
      </x:c>
      <x:c r="B10" s="113" t="str">
        <x:v>Kooperationspartner aktiv managen</x:v>
      </x:c>
      <x:c r="C10" s="114" t="str">
        <x:v>Partnerrollen, Freigaben und Co-Kommunikation früh klären und als Aufgaben dokumentieren.</x:v>
      </x:c>
    </x:row>
    <x:row r="11">
      <x:c r="A11" t="str">
        <x:v>8</x:v>
      </x:c>
      <x:c r="B11" t="str">
        <x:v>Nachbereitung sichern</x:v>
      </x:c>
      <x:c r="C11" t="str">
        <x:v>Feedback, kommunikative Nachbereitung und Learnings dokumentieren und in kommende Events übertragen.</x:v>
      </x:c>
    </x:row>
  </x:sheetData>
  <x:mergeCells>
    <x:mergeCell ref="A1:F1"/>
  </x:mergeCells>
  <x:pageMargins left="0.7" right="0.7" top="0.75" bottom="0.75" header="0.3" footer="0.3"/>
</x:worksheet>
</file>